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DD97A8EA-9A9A-E61F-A557-7D5A7D7259CE}"/>
  <workbookPr filterPrivacy="1" codeName="ReviewRecord"/>
  <xr:revisionPtr revIDLastSave="0" documentId="13_ncr:1_{611638A4-86C5-4634-9C20-4B00681FD37E}" xr6:coauthVersionLast="47" xr6:coauthVersionMax="47" xr10:uidLastSave="{00000000-0000-0000-0000-000000000000}"/>
  <bookViews>
    <workbookView xWindow="-108" yWindow="-108" windowWidth="46296" windowHeight="25416" activeTab="2" xr2:uid="{00000000-000D-0000-FFFF-FFFF00000000}"/>
  </bookViews>
  <sheets>
    <sheet name="Title sheet" sheetId="2" r:id="rId1"/>
    <sheet name="Instructions" sheetId="3" r:id="rId2"/>
    <sheet name="Review Results" sheetId="1" r:id="rId3"/>
  </sheets>
  <definedNames>
    <definedName name="_xlnm.Print_Area" localSheetId="2">'Review Results'!$A$1:$I$8</definedName>
    <definedName name="_xlnm.Print_Area" localSheetId="0">'Title sheet'!$B$2:$E$19</definedName>
  </definedNames>
  <calcPr calcId="181029"/>
</workbook>
</file>

<file path=xl/calcChain.xml><?xml version="1.0" encoding="utf-8"?>
<calcChain xmlns="http://schemas.openxmlformats.org/spreadsheetml/2006/main">
  <c r="H2" i="1" l="1"/>
  <c r="C7" i="1" s="1"/>
  <c r="H5" i="1"/>
  <c r="C5" i="1"/>
  <c r="H4" i="1"/>
  <c r="H3" i="1"/>
  <c r="B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3" authorId="0" shapeId="0" xr:uid="{B5EB1081-CAA3-47E1-A26B-958CAEA0CA8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review type to matching type</t>
        </r>
      </text>
    </comment>
    <comment ref="E4" authorId="0" shapeId="0" xr:uid="{B0760122-063C-4293-86DE-BC80E79BD33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Ensure document or project to review is refferenced correctly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7" authorId="0" shapeId="0" xr:uid="{00000000-0006-0000-0100-000001000000}">
      <text>
        <r>
          <rPr>
            <sz val="8"/>
            <color indexed="81"/>
            <rFont val="Tahoma"/>
            <family val="2"/>
          </rPr>
          <t>Select Issue Class:
C - Critical Issue; Reviewing doesn't make sense
M - Major Issue that is most likely to cause a mistake in the end product
n - Minor Issue but will probably not result in a mistake in the end product
Q - Question; Not sure if it's right or wrong</t>
        </r>
      </text>
    </comment>
    <comment ref="F7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 xml:space="preserve">Enter a concise description of the issue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Select:
a - accept
r - reject
d - double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In case Action = Reject an explanation shall be given in this field.
</t>
        </r>
      </text>
    </comment>
    <comment ref="I7" authorId="0" shapeId="0" xr:uid="{00000000-0006-0000-0100-000005000000}">
      <text>
        <r>
          <rPr>
            <sz val="9"/>
            <color indexed="81"/>
            <rFont val="Tahoma"/>
            <family val="2"/>
          </rPr>
          <t xml:space="preserve">Moderator check:
X - checked and not OK
V - checked and OK
</t>
        </r>
      </text>
    </comment>
  </commentList>
</comments>
</file>

<file path=xl/sharedStrings.xml><?xml version="1.0" encoding="utf-8"?>
<sst xmlns="http://schemas.openxmlformats.org/spreadsheetml/2006/main" count="68" uniqueCount="60">
  <si>
    <t>Review Type</t>
  </si>
  <si>
    <t>Document</t>
  </si>
  <si>
    <t>&lt;Select type&gt;</t>
  </si>
  <si>
    <t>&lt;make a choice&gt;</t>
  </si>
  <si>
    <t>Document ID</t>
  </si>
  <si>
    <t>&lt;Name of the document under review&gt;</t>
  </si>
  <si>
    <t>Passed</t>
  </si>
  <si>
    <t>Document Version</t>
  </si>
  <si>
    <t>Code</t>
  </si>
  <si>
    <t>Passed after rework (no new review required)</t>
  </si>
  <si>
    <t>Form Revision:</t>
  </si>
  <si>
    <t>Drawing</t>
  </si>
  <si>
    <t>Rejected</t>
  </si>
  <si>
    <t>Schematics / Layout</t>
  </si>
  <si>
    <t>Invitees:</t>
  </si>
  <si>
    <t>Name</t>
  </si>
  <si>
    <t>Role / focus area (optional)</t>
  </si>
  <si>
    <t>Author</t>
  </si>
  <si>
    <t>Moderator</t>
  </si>
  <si>
    <t>Reviewers:</t>
  </si>
  <si>
    <t>User Instructions:</t>
  </si>
  <si>
    <r>
      <rPr>
        <b/>
        <sz val="11"/>
        <color indexed="8"/>
        <rFont val="Calibri"/>
        <family val="2"/>
      </rPr>
      <t>Author</t>
    </r>
    <r>
      <rPr>
        <sz val="11"/>
        <color indexed="8"/>
        <rFont val="Calibri"/>
        <family val="2"/>
      </rPr>
      <t xml:space="preserve"> prepares review a sheet, instructs reviewers and sents out the sheet to all reviewers </t>
    </r>
  </si>
  <si>
    <r>
      <rPr>
        <b/>
        <sz val="11"/>
        <color indexed="8"/>
        <rFont val="Calibri"/>
        <family val="2"/>
      </rPr>
      <t>Author</t>
    </r>
    <r>
      <rPr>
        <sz val="11"/>
        <color indexed="8"/>
        <rFont val="Calibri"/>
        <family val="2"/>
      </rPr>
      <t xml:space="preserve"> imports forms of other reviewers by clicking "Import"button </t>
    </r>
  </si>
  <si>
    <r>
      <rPr>
        <b/>
        <sz val="11"/>
        <color indexed="8"/>
        <rFont val="Calibri"/>
        <family val="2"/>
      </rPr>
      <t>Author</t>
    </r>
    <r>
      <rPr>
        <sz val="11"/>
        <color indexed="8"/>
        <rFont val="Calibri"/>
        <family val="2"/>
      </rPr>
      <t xml:space="preserve"> chooses action for each entry. In case of not accepting the issue (reject), this must be explained</t>
    </r>
  </si>
  <si>
    <t xml:space="preserve">in the remarks section. </t>
  </si>
  <si>
    <r>
      <t xml:space="preserve">When the author is done, the </t>
    </r>
    <r>
      <rPr>
        <b/>
        <sz val="11"/>
        <color indexed="8"/>
        <rFont val="Calibri"/>
        <family val="2"/>
      </rPr>
      <t>moderator</t>
    </r>
    <r>
      <rPr>
        <sz val="11"/>
        <color indexed="8"/>
        <rFont val="Calibri"/>
        <family val="2"/>
      </rPr>
      <t xml:space="preserve"> performs an exit check:</t>
    </r>
  </si>
  <si>
    <t>- Checks if all rejected issues are handled in proper way</t>
  </si>
  <si>
    <t>- Checks the other issues sample wise</t>
  </si>
  <si>
    <t>Review Results</t>
  </si>
  <si>
    <t>a</t>
  </si>
  <si>
    <t>C</t>
  </si>
  <si>
    <t>x</t>
  </si>
  <si>
    <t>r</t>
  </si>
  <si>
    <t>M</t>
  </si>
  <si>
    <t>V</t>
  </si>
  <si>
    <t>d</t>
  </si>
  <si>
    <t>n</t>
  </si>
  <si>
    <t>Q</t>
  </si>
  <si>
    <t>Item#</t>
  </si>
  <si>
    <t>Reviewer</t>
  </si>
  <si>
    <t>Issue Description</t>
  </si>
  <si>
    <t>Action</t>
  </si>
  <si>
    <t>Remark</t>
  </si>
  <si>
    <t>Check</t>
  </si>
  <si>
    <r>
      <t xml:space="preserve">Each </t>
    </r>
    <r>
      <rPr>
        <b/>
        <sz val="11"/>
        <color indexed="8"/>
        <rFont val="Calibri"/>
        <family val="2"/>
      </rPr>
      <t>reviewer</t>
    </r>
    <r>
      <rPr>
        <sz val="11"/>
        <color indexed="8"/>
        <rFont val="Calibri"/>
        <family val="2"/>
      </rPr>
      <t xml:space="preserve"> fills out the review results sheet and sends back to Author</t>
    </r>
  </si>
  <si>
    <t>Review records are stored with the original document(s)</t>
  </si>
  <si>
    <t>0.2</t>
  </si>
  <si>
    <t>Sjoert de Boer</t>
  </si>
  <si>
    <t>Boersj</t>
  </si>
  <si>
    <t>Fransesco</t>
  </si>
  <si>
    <t xml:space="preserve">Electronics Engineer </t>
  </si>
  <si>
    <t>layout</t>
  </si>
  <si>
    <t>Overlapping silk and copper</t>
  </si>
  <si>
    <t>3D models of footprints are not correctly placed in the library</t>
  </si>
  <si>
    <t>Net REG_IN_MAIN should be rerouted</t>
  </si>
  <si>
    <t xml:space="preserve">Use teardrops </t>
  </si>
  <si>
    <t>Each FLEX_GND should have its own microvia or via</t>
  </si>
  <si>
    <t>Some via's only connect in the annular ring which should be avoided</t>
  </si>
  <si>
    <t>check layout for acid traps --&gt; there are a lot</t>
  </si>
  <si>
    <t>Edge Cuts layer seems not to be an arc, check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</si>
</sst>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indexed="8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2"/>
      <color indexed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</font>
    <font>
      <sz val="9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</fills>
  <borders count="3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0">
    <xf numFmtId="0" fontId="0" fillId="0" borderId="0"/>
    <xf numFmtId="0" fontId="6" fillId="2" borderId="0" applyNumberFormat="0" applyBorder="0" applyAlignment="0" applyProtection="0"/>
    <xf numFmtId="0" fontId="10" fillId="5" borderId="1" applyNumberFormat="0" applyAlignment="0" applyProtection="0"/>
    <xf numFmtId="0" fontId="12" fillId="6" borderId="2" applyNumberFormat="0" applyAlignment="0" applyProtection="0"/>
    <xf numFmtId="0" fontId="14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2" fillId="0" borderId="3" applyNumberFormat="0" applyFill="0" applyAlignment="0" applyProtection="0"/>
    <xf numFmtId="0" fontId="3" fillId="0" borderId="4" applyNumberFormat="0" applyFill="0" applyAlignment="0" applyProtection="0"/>
    <xf numFmtId="0" fontId="4" fillId="0" borderId="5" applyNumberFormat="0" applyFill="0" applyAlignment="0" applyProtection="0"/>
    <xf numFmtId="0" fontId="4" fillId="0" borderId="0" applyNumberFormat="0" applyFill="0" applyBorder="0" applyAlignment="0" applyProtection="0"/>
    <xf numFmtId="0" fontId="8" fillId="4" borderId="1" applyNumberFormat="0" applyAlignment="0" applyProtection="0"/>
    <xf numFmtId="0" fontId="11" fillId="0" borderId="6" applyNumberFormat="0" applyFill="0" applyAlignment="0" applyProtection="0"/>
    <xf numFmtId="0" fontId="7" fillId="7" borderId="0" applyNumberFormat="0" applyBorder="0" applyAlignment="0" applyProtection="0"/>
    <xf numFmtId="0" fontId="16" fillId="0" borderId="0"/>
    <xf numFmtId="0" fontId="16" fillId="8" borderId="7" applyNumberFormat="0" applyFont="0" applyAlignment="0" applyProtection="0"/>
    <xf numFmtId="0" fontId="9" fillId="5" borderId="8" applyNumberFormat="0" applyAlignment="0" applyProtection="0"/>
    <xf numFmtId="0" fontId="1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3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115">
    <xf numFmtId="0" fontId="0" fillId="0" borderId="0" xfId="0"/>
    <xf numFmtId="0" fontId="22" fillId="0" borderId="0" xfId="0" applyFont="1" applyAlignment="1" applyProtection="1">
      <alignment vertical="top"/>
      <protection locked="0" hidden="1"/>
    </xf>
    <xf numFmtId="0" fontId="23" fillId="0" borderId="0" xfId="0" applyFont="1" applyAlignment="1">
      <alignment vertical="top"/>
    </xf>
    <xf numFmtId="0" fontId="22" fillId="0" borderId="0" xfId="0" applyFont="1" applyAlignment="1">
      <alignment vertical="top"/>
    </xf>
    <xf numFmtId="0" fontId="22" fillId="0" borderId="0" xfId="0" applyFont="1" applyAlignment="1">
      <alignment horizontal="center" vertical="top"/>
    </xf>
    <xf numFmtId="0" fontId="22" fillId="0" borderId="0" xfId="0" applyFont="1" applyAlignment="1" applyProtection="1">
      <alignment horizontal="left" vertical="top" wrapText="1"/>
      <protection hidden="1"/>
    </xf>
    <xf numFmtId="0" fontId="21" fillId="0" borderId="0" xfId="0" applyFont="1" applyAlignment="1" applyProtection="1">
      <alignment horizontal="right" vertical="top"/>
      <protection hidden="1"/>
    </xf>
    <xf numFmtId="0" fontId="22" fillId="0" borderId="0" xfId="0" applyFont="1" applyAlignment="1" applyProtection="1">
      <alignment vertical="top"/>
      <protection hidden="1"/>
    </xf>
    <xf numFmtId="0" fontId="22" fillId="0" borderId="0" xfId="0" applyFont="1" applyAlignment="1" applyProtection="1">
      <alignment vertical="top"/>
      <protection locked="0"/>
    </xf>
    <xf numFmtId="0" fontId="21" fillId="0" borderId="0" xfId="0" applyFont="1" applyAlignment="1">
      <alignment horizontal="right" vertical="top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 applyProtection="1">
      <alignment horizontal="center" vertical="top"/>
      <protection locked="0"/>
    </xf>
    <xf numFmtId="0" fontId="22" fillId="0" borderId="0" xfId="0" applyFont="1" applyAlignment="1" applyProtection="1">
      <alignment horizontal="left" vertical="top"/>
      <protection locked="0" hidden="1"/>
    </xf>
    <xf numFmtId="0" fontId="22" fillId="0" borderId="0" xfId="0" applyFont="1" applyAlignment="1" applyProtection="1">
      <alignment horizontal="left" vertical="top" wrapText="1"/>
      <protection locked="0"/>
    </xf>
    <xf numFmtId="0" fontId="24" fillId="0" borderId="0" xfId="0" applyFont="1" applyAlignment="1" applyProtection="1">
      <alignment horizontal="center" vertical="top"/>
      <protection locked="0"/>
    </xf>
    <xf numFmtId="0" fontId="22" fillId="0" borderId="0" xfId="0" applyFont="1" applyAlignment="1" applyProtection="1">
      <alignment horizontal="center" vertical="top"/>
      <protection hidden="1"/>
    </xf>
    <xf numFmtId="0" fontId="22" fillId="0" borderId="0" xfId="0" applyFont="1" applyAlignment="1" applyProtection="1">
      <alignment horizontal="left" vertical="top"/>
      <protection hidden="1"/>
    </xf>
    <xf numFmtId="0" fontId="22" fillId="0" borderId="10" xfId="0" applyFont="1" applyBorder="1" applyAlignment="1" applyProtection="1">
      <alignment vertical="top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2" fillId="0" borderId="11" xfId="0" applyFont="1" applyBorder="1" applyAlignment="1" applyProtection="1">
      <alignment horizontal="left" vertical="top"/>
      <protection hidden="1"/>
    </xf>
    <xf numFmtId="0" fontId="22" fillId="0" borderId="12" xfId="0" applyFont="1" applyBorder="1" applyAlignment="1" applyProtection="1">
      <alignment horizontal="left" vertical="top"/>
      <protection hidden="1"/>
    </xf>
    <xf numFmtId="0" fontId="22" fillId="0" borderId="21" xfId="0" applyFont="1" applyBorder="1" applyAlignment="1">
      <alignment horizontal="left" vertical="top"/>
    </xf>
    <xf numFmtId="0" fontId="22" fillId="0" borderId="22" xfId="0" applyFont="1" applyBorder="1" applyAlignment="1" applyProtection="1">
      <alignment horizontal="center" vertical="top"/>
      <protection hidden="1"/>
    </xf>
    <xf numFmtId="0" fontId="22" fillId="0" borderId="22" xfId="0" applyFont="1" applyBorder="1" applyAlignment="1" applyProtection="1">
      <alignment horizontal="left" vertical="top"/>
      <protection hidden="1"/>
    </xf>
    <xf numFmtId="0" fontId="22" fillId="0" borderId="22" xfId="0" applyFont="1" applyBorder="1" applyAlignment="1" applyProtection="1">
      <alignment horizontal="left" vertical="top" wrapText="1"/>
      <protection hidden="1"/>
    </xf>
    <xf numFmtId="0" fontId="22" fillId="0" borderId="22" xfId="0" applyFont="1" applyBorder="1" applyAlignment="1">
      <alignment horizontal="center" vertical="top"/>
    </xf>
    <xf numFmtId="0" fontId="21" fillId="0" borderId="22" xfId="0" applyFont="1" applyBorder="1" applyAlignment="1">
      <alignment horizontal="right" vertical="top" wrapText="1"/>
    </xf>
    <xf numFmtId="0" fontId="23" fillId="0" borderId="26" xfId="0" applyFont="1" applyBorder="1" applyAlignment="1">
      <alignment horizontal="center" vertical="top"/>
    </xf>
    <xf numFmtId="0" fontId="21" fillId="0" borderId="23" xfId="0" applyFont="1" applyBorder="1" applyAlignment="1" applyProtection="1">
      <alignment horizontal="left" vertical="top"/>
      <protection hidden="1"/>
    </xf>
    <xf numFmtId="0" fontId="23" fillId="0" borderId="27" xfId="0" applyFont="1" applyBorder="1" applyAlignment="1">
      <alignment horizontal="center" vertical="top"/>
    </xf>
    <xf numFmtId="0" fontId="21" fillId="0" borderId="23" xfId="0" applyFont="1" applyBorder="1" applyAlignment="1">
      <alignment horizontal="left" vertical="top"/>
    </xf>
    <xf numFmtId="0" fontId="22" fillId="0" borderId="23" xfId="0" applyFont="1" applyBorder="1" applyAlignment="1">
      <alignment horizontal="left" vertical="top"/>
    </xf>
    <xf numFmtId="0" fontId="0" fillId="10" borderId="13" xfId="0" applyFill="1" applyBorder="1" applyAlignment="1">
      <alignment vertical="top"/>
    </xf>
    <xf numFmtId="0" fontId="17" fillId="10" borderId="14" xfId="0" applyFont="1" applyFill="1" applyBorder="1" applyAlignment="1">
      <alignment vertical="top"/>
    </xf>
    <xf numFmtId="0" fontId="0" fillId="10" borderId="15" xfId="0" applyFill="1" applyBorder="1" applyAlignment="1">
      <alignment vertical="top"/>
    </xf>
    <xf numFmtId="0" fontId="0" fillId="10" borderId="16" xfId="0" applyFill="1" applyBorder="1" applyAlignment="1">
      <alignment vertical="top"/>
    </xf>
    <xf numFmtId="0" fontId="0" fillId="10" borderId="16" xfId="0" quotePrefix="1" applyFill="1" applyBorder="1" applyAlignment="1">
      <alignment vertical="top"/>
    </xf>
    <xf numFmtId="0" fontId="0" fillId="10" borderId="17" xfId="0" applyFill="1" applyBorder="1" applyAlignment="1">
      <alignment vertical="top"/>
    </xf>
    <xf numFmtId="0" fontId="0" fillId="10" borderId="18" xfId="0" quotePrefix="1" applyFill="1" applyBorder="1" applyAlignment="1">
      <alignment vertical="top"/>
    </xf>
    <xf numFmtId="0" fontId="22" fillId="11" borderId="0" xfId="0" applyFont="1" applyFill="1" applyAlignment="1" applyProtection="1">
      <alignment horizontal="left" vertical="top"/>
      <protection locked="0"/>
    </xf>
    <xf numFmtId="0" fontId="22" fillId="11" borderId="19" xfId="0" applyFont="1" applyFill="1" applyBorder="1" applyAlignment="1" applyProtection="1">
      <alignment horizontal="left" vertical="top"/>
      <protection locked="0"/>
    </xf>
    <xf numFmtId="0" fontId="22" fillId="0" borderId="19" xfId="0" applyFont="1" applyBorder="1" applyAlignment="1" applyProtection="1">
      <alignment horizontal="center" vertical="top"/>
      <protection locked="0"/>
    </xf>
    <xf numFmtId="0" fontId="22" fillId="0" borderId="19" xfId="0" applyFont="1" applyBorder="1" applyAlignment="1" applyProtection="1">
      <alignment horizontal="left" vertical="top" wrapText="1"/>
      <protection locked="0"/>
    </xf>
    <xf numFmtId="0" fontId="22" fillId="9" borderId="19" xfId="0" applyFont="1" applyFill="1" applyBorder="1" applyAlignment="1" applyProtection="1">
      <alignment horizontal="center" vertical="top"/>
      <protection locked="0"/>
    </xf>
    <xf numFmtId="0" fontId="22" fillId="9" borderId="19" xfId="0" applyFont="1" applyFill="1" applyBorder="1" applyAlignment="1" applyProtection="1">
      <alignment horizontal="left" vertical="top" wrapText="1"/>
      <protection locked="0"/>
    </xf>
    <xf numFmtId="0" fontId="23" fillId="9" borderId="19" xfId="0" applyFont="1" applyFill="1" applyBorder="1" applyAlignment="1" applyProtection="1">
      <alignment horizontal="center" vertical="top"/>
      <protection locked="0"/>
    </xf>
    <xf numFmtId="0" fontId="22" fillId="0" borderId="22" xfId="0" applyFont="1" applyBorder="1" applyAlignment="1" applyProtection="1">
      <alignment horizontal="center" vertical="top" wrapText="1"/>
      <protection hidden="1"/>
    </xf>
    <xf numFmtId="0" fontId="22" fillId="0" borderId="0" xfId="0" applyFont="1" applyAlignment="1">
      <alignment horizontal="center" vertical="top" wrapText="1"/>
    </xf>
    <xf numFmtId="49" fontId="21" fillId="0" borderId="0" xfId="0" applyNumberFormat="1" applyFont="1" applyAlignment="1">
      <alignment horizontal="right" vertical="top" wrapText="1"/>
    </xf>
    <xf numFmtId="49" fontId="21" fillId="0" borderId="0" xfId="0" applyNumberFormat="1" applyFont="1" applyAlignment="1">
      <alignment horizontal="left" vertical="top" wrapText="1"/>
    </xf>
    <xf numFmtId="0" fontId="22" fillId="0" borderId="0" xfId="0" applyFont="1" applyAlignment="1" applyProtection="1">
      <alignment horizontal="center" vertical="top" wrapText="1"/>
      <protection hidden="1"/>
    </xf>
    <xf numFmtId="0" fontId="22" fillId="0" borderId="19" xfId="0" applyFont="1" applyBorder="1" applyAlignment="1" applyProtection="1">
      <alignment horizontal="center" vertical="top" wrapText="1"/>
      <protection locked="0"/>
    </xf>
    <xf numFmtId="0" fontId="22" fillId="0" borderId="0" xfId="0" applyFont="1" applyAlignment="1" applyProtection="1">
      <alignment horizontal="center" vertical="top" wrapText="1"/>
      <protection locked="0"/>
    </xf>
    <xf numFmtId="0" fontId="22" fillId="9" borderId="0" xfId="0" applyFont="1" applyFill="1" applyAlignment="1" applyProtection="1">
      <alignment horizontal="center" vertical="top"/>
      <protection locked="0"/>
    </xf>
    <xf numFmtId="0" fontId="22" fillId="9" borderId="0" xfId="0" applyFont="1" applyFill="1" applyAlignment="1" applyProtection="1">
      <alignment horizontal="left" vertical="top" wrapText="1"/>
      <protection locked="0"/>
    </xf>
    <xf numFmtId="0" fontId="23" fillId="9" borderId="0" xfId="0" applyFont="1" applyFill="1" applyAlignment="1" applyProtection="1">
      <alignment horizontal="center" vertical="top"/>
      <protection locked="0"/>
    </xf>
    <xf numFmtId="0" fontId="22" fillId="0" borderId="19" xfId="0" applyFont="1" applyBorder="1" applyAlignment="1" applyProtection="1">
      <alignment horizontal="left" vertical="top"/>
      <protection locked="0"/>
    </xf>
    <xf numFmtId="0" fontId="22" fillId="0" borderId="0" xfId="0" applyFont="1" applyAlignment="1" applyProtection="1">
      <alignment horizontal="left" vertical="top"/>
      <protection locked="0"/>
    </xf>
    <xf numFmtId="0" fontId="22" fillId="0" borderId="0" xfId="0" quotePrefix="1" applyFont="1" applyAlignment="1" applyProtection="1">
      <alignment horizontal="center" vertical="top" wrapText="1"/>
      <protection locked="0"/>
    </xf>
    <xf numFmtId="0" fontId="21" fillId="9" borderId="0" xfId="0" applyFont="1" applyFill="1" applyAlignment="1" applyProtection="1">
      <alignment horizontal="left" vertical="top" wrapText="1"/>
      <protection locked="0"/>
    </xf>
    <xf numFmtId="0" fontId="28" fillId="0" borderId="0" xfId="19" applyAlignment="1">
      <alignment vertical="top"/>
    </xf>
    <xf numFmtId="0" fontId="25" fillId="12" borderId="30" xfId="0" applyFont="1" applyFill="1" applyBorder="1" applyAlignment="1">
      <alignment horizontal="left" vertical="top"/>
    </xf>
    <xf numFmtId="0" fontId="25" fillId="12" borderId="30" xfId="0" applyFont="1" applyFill="1" applyBorder="1" applyAlignment="1" applyProtection="1">
      <alignment horizontal="center" vertical="top" wrapText="1"/>
      <protection hidden="1"/>
    </xf>
    <xf numFmtId="0" fontId="25" fillId="12" borderId="30" xfId="0" applyFont="1" applyFill="1" applyBorder="1" applyAlignment="1" applyProtection="1">
      <alignment horizontal="center" vertical="top"/>
      <protection hidden="1"/>
    </xf>
    <xf numFmtId="0" fontId="25" fillId="12" borderId="30" xfId="0" applyFont="1" applyFill="1" applyBorder="1" applyAlignment="1" applyProtection="1">
      <alignment horizontal="left" vertical="top"/>
      <protection hidden="1"/>
    </xf>
    <xf numFmtId="0" fontId="25" fillId="12" borderId="30" xfId="0" applyFont="1" applyFill="1" applyBorder="1" applyAlignment="1" applyProtection="1">
      <alignment horizontal="left" vertical="top" wrapText="1"/>
      <protection hidden="1"/>
    </xf>
    <xf numFmtId="0" fontId="25" fillId="12" borderId="30" xfId="0" applyFont="1" applyFill="1" applyBorder="1" applyAlignment="1">
      <alignment horizontal="center" vertical="top"/>
    </xf>
    <xf numFmtId="0" fontId="25" fillId="12" borderId="30" xfId="0" applyFont="1" applyFill="1" applyBorder="1" applyAlignment="1">
      <alignment horizontal="left" vertical="top" wrapText="1"/>
    </xf>
    <xf numFmtId="0" fontId="22" fillId="0" borderId="22" xfId="0" applyFont="1" applyBorder="1" applyAlignment="1">
      <alignment horizontal="left" vertical="top"/>
    </xf>
    <xf numFmtId="0" fontId="22" fillId="0" borderId="22" xfId="0" applyFont="1" applyBorder="1" applyAlignment="1">
      <alignment vertical="top"/>
    </xf>
    <xf numFmtId="0" fontId="22" fillId="0" borderId="26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0" xfId="0" applyFont="1" applyAlignment="1" applyProtection="1">
      <alignment vertical="top"/>
      <protection hidden="1"/>
    </xf>
    <xf numFmtId="0" fontId="3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2" fillId="0" borderId="10" xfId="0" applyFont="1" applyBorder="1" applyAlignment="1" applyProtection="1">
      <alignment vertical="top"/>
      <protection locked="0"/>
    </xf>
    <xf numFmtId="0" fontId="29" fillId="0" borderId="0" xfId="0" applyFont="1" applyAlignment="1" applyProtection="1">
      <alignment vertical="top"/>
      <protection locked="0"/>
    </xf>
    <xf numFmtId="0" fontId="31" fillId="0" borderId="0" xfId="0" applyFont="1" applyAlignment="1">
      <alignment vertical="top"/>
    </xf>
    <xf numFmtId="0" fontId="22" fillId="0" borderId="11" xfId="0" applyFont="1" applyBorder="1" applyAlignment="1" applyProtection="1">
      <alignment vertical="top" wrapText="1"/>
      <protection locked="0"/>
    </xf>
    <xf numFmtId="0" fontId="29" fillId="0" borderId="0" xfId="0" applyFont="1" applyAlignment="1" applyProtection="1">
      <alignment vertical="top" wrapText="1"/>
      <protection locked="0"/>
    </xf>
    <xf numFmtId="49" fontId="21" fillId="0" borderId="0" xfId="0" applyNumberFormat="1" applyFont="1" applyAlignment="1">
      <alignment horizontal="left" vertical="top"/>
    </xf>
    <xf numFmtId="0" fontId="22" fillId="0" borderId="12" xfId="0" applyFont="1" applyBorder="1" applyAlignment="1" applyProtection="1">
      <alignment horizontal="left" vertical="top"/>
      <protection locked="0"/>
    </xf>
    <xf numFmtId="0" fontId="29" fillId="0" borderId="0" xfId="0" applyFont="1" applyAlignment="1" applyProtection="1">
      <alignment horizontal="left" vertical="top"/>
      <protection locked="0"/>
    </xf>
    <xf numFmtId="49" fontId="21" fillId="0" borderId="23" xfId="0" applyNumberFormat="1" applyFont="1" applyBorder="1" applyAlignment="1">
      <alignment horizontal="right" vertical="top"/>
    </xf>
    <xf numFmtId="0" fontId="22" fillId="0" borderId="29" xfId="0" applyFont="1" applyBorder="1" applyAlignment="1" applyProtection="1">
      <alignment horizontal="left" vertical="top"/>
      <protection locked="0"/>
    </xf>
    <xf numFmtId="0" fontId="22" fillId="0" borderId="27" xfId="0" applyFont="1" applyBorder="1" applyAlignment="1">
      <alignment vertical="top"/>
    </xf>
    <xf numFmtId="0" fontId="22" fillId="0" borderId="24" xfId="0" applyFont="1" applyBorder="1" applyAlignment="1">
      <alignment vertical="top"/>
    </xf>
    <xf numFmtId="0" fontId="22" fillId="0" borderId="25" xfId="0" applyFont="1" applyBorder="1" applyAlignment="1">
      <alignment horizontal="left" vertical="top"/>
    </xf>
    <xf numFmtId="0" fontId="25" fillId="12" borderId="20" xfId="13" applyFont="1" applyFill="1" applyBorder="1" applyAlignment="1">
      <alignment vertical="top" wrapText="1"/>
    </xf>
    <xf numFmtId="0" fontId="25" fillId="12" borderId="28" xfId="13" applyFont="1" applyFill="1" applyBorder="1" applyAlignment="1">
      <alignment vertical="top" wrapText="1"/>
    </xf>
    <xf numFmtId="0" fontId="32" fillId="0" borderId="0" xfId="13" applyFont="1" applyAlignment="1">
      <alignment vertical="top" wrapText="1"/>
    </xf>
    <xf numFmtId="0" fontId="33" fillId="0" borderId="20" xfId="13" applyFont="1" applyBorder="1" applyAlignment="1">
      <alignment horizontal="left" vertical="top" wrapText="1"/>
    </xf>
    <xf numFmtId="20" fontId="23" fillId="0" borderId="28" xfId="13" applyNumberFormat="1" applyFont="1" applyBorder="1" applyAlignment="1" applyProtection="1">
      <alignment vertical="top" wrapText="1"/>
      <protection locked="0"/>
    </xf>
    <xf numFmtId="0" fontId="23" fillId="0" borderId="0" xfId="13" applyFont="1" applyAlignment="1">
      <alignment vertical="top" wrapText="1"/>
    </xf>
    <xf numFmtId="0" fontId="33" fillId="0" borderId="30" xfId="13" applyFont="1" applyBorder="1" applyAlignment="1">
      <alignment horizontal="left" vertical="top" wrapText="1"/>
    </xf>
    <xf numFmtId="20" fontId="23" fillId="0" borderId="21" xfId="13" applyNumberFormat="1" applyFont="1" applyBorder="1" applyAlignment="1" applyProtection="1">
      <alignment vertical="top" wrapText="1"/>
      <protection locked="0"/>
    </xf>
    <xf numFmtId="0" fontId="33" fillId="0" borderId="28" xfId="13" applyFont="1" applyBorder="1" applyAlignment="1">
      <alignment horizontal="left" vertical="top" wrapText="1"/>
    </xf>
    <xf numFmtId="20" fontId="23" fillId="0" borderId="32" xfId="13" applyNumberFormat="1" applyFont="1" applyBorder="1" applyAlignment="1" applyProtection="1">
      <alignment vertical="top" wrapText="1"/>
      <protection locked="0"/>
    </xf>
    <xf numFmtId="0" fontId="25" fillId="12" borderId="31" xfId="13" applyFont="1" applyFill="1" applyBorder="1" applyAlignment="1">
      <alignment horizontal="left" vertical="top" wrapText="1"/>
    </xf>
    <xf numFmtId="0" fontId="25" fillId="12" borderId="24" xfId="13" applyFont="1" applyFill="1" applyBorder="1" applyAlignment="1">
      <alignment vertical="top" wrapText="1"/>
    </xf>
    <xf numFmtId="0" fontId="22" fillId="0" borderId="0" xfId="0" applyFont="1"/>
    <xf numFmtId="0" fontId="33" fillId="0" borderId="0" xfId="13" applyFont="1" applyAlignment="1">
      <alignment horizontal="left" vertical="top" wrapText="1"/>
    </xf>
    <xf numFmtId="20" fontId="23" fillId="0" borderId="0" xfId="13" applyNumberFormat="1" applyFont="1" applyAlignment="1">
      <alignment vertical="top" wrapText="1"/>
    </xf>
    <xf numFmtId="0" fontId="34" fillId="0" borderId="0" xfId="13" applyFont="1" applyAlignment="1">
      <alignment vertical="top" wrapText="1"/>
    </xf>
    <xf numFmtId="0" fontId="30" fillId="0" borderId="0" xfId="0" applyFont="1"/>
    <xf numFmtId="0" fontId="22" fillId="0" borderId="21" xfId="0" applyFont="1" applyBorder="1" applyAlignment="1">
      <alignment horizontal="center" vertical="top"/>
    </xf>
    <xf numFmtId="0" fontId="22" fillId="0" borderId="23" xfId="0" applyFont="1" applyBorder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22" fillId="0" borderId="27" xfId="0" applyFont="1" applyBorder="1" applyAlignment="1">
      <alignment horizontal="center" vertical="top"/>
    </xf>
    <xf numFmtId="0" fontId="25" fillId="12" borderId="20" xfId="13" applyFont="1" applyFill="1" applyBorder="1" applyAlignment="1">
      <alignment horizontal="center" vertical="top" wrapText="1"/>
    </xf>
    <xf numFmtId="20" fontId="23" fillId="0" borderId="20" xfId="13" applyNumberFormat="1" applyFont="1" applyBorder="1" applyAlignment="1" applyProtection="1">
      <alignment horizontal="center" vertical="top" wrapText="1"/>
      <protection locked="0"/>
    </xf>
    <xf numFmtId="20" fontId="23" fillId="0" borderId="30" xfId="13" applyNumberFormat="1" applyFont="1" applyBorder="1" applyAlignment="1" applyProtection="1">
      <alignment horizontal="center" vertical="top" wrapText="1"/>
      <protection locked="0"/>
    </xf>
    <xf numFmtId="20" fontId="23" fillId="0" borderId="32" xfId="13" applyNumberFormat="1" applyFont="1" applyBorder="1" applyAlignment="1" applyProtection="1">
      <alignment horizontal="center" vertical="top" wrapText="1"/>
      <protection locked="0"/>
    </xf>
    <xf numFmtId="20" fontId="23" fillId="0" borderId="33" xfId="13" applyNumberFormat="1" applyFont="1" applyBorder="1" applyAlignment="1" applyProtection="1">
      <alignment horizontal="center" vertical="top" wrapText="1"/>
      <protection locked="0"/>
    </xf>
    <xf numFmtId="0" fontId="25" fillId="12" borderId="31" xfId="13" applyFont="1" applyFill="1" applyBorder="1" applyAlignment="1">
      <alignment horizontal="center" vertical="top" wrapText="1"/>
    </xf>
  </cellXfs>
  <cellStyles count="20">
    <cellStyle name="Bad" xfId="1" xr:uid="{00000000-0005-0000-0000-000000000000}"/>
    <cellStyle name="Calculation" xfId="2" xr:uid="{00000000-0005-0000-0000-000001000000}"/>
    <cellStyle name="Check Cell" xfId="3" xr:uid="{00000000-0005-0000-0000-000002000000}"/>
    <cellStyle name="Explanatory Text" xfId="4" xr:uid="{00000000-0005-0000-0000-000003000000}"/>
    <cellStyle name="Good" xfId="5" xr:uid="{00000000-0005-0000-0000-000004000000}"/>
    <cellStyle name="Heading 1" xfId="6" xr:uid="{00000000-0005-0000-0000-000005000000}"/>
    <cellStyle name="Heading 2" xfId="7" xr:uid="{00000000-0005-0000-0000-000006000000}"/>
    <cellStyle name="Heading 3" xfId="8" xr:uid="{00000000-0005-0000-0000-000007000000}"/>
    <cellStyle name="Heading 4" xfId="9" xr:uid="{00000000-0005-0000-0000-000008000000}"/>
    <cellStyle name="Hyperlink" xfId="19" builtinId="8"/>
    <cellStyle name="Input" xfId="10" xr:uid="{00000000-0005-0000-0000-000009000000}"/>
    <cellStyle name="Linked Cell" xfId="11" xr:uid="{00000000-0005-0000-0000-00000A000000}"/>
    <cellStyle name="Neutral" xfId="12" xr:uid="{00000000-0005-0000-0000-00000B000000}"/>
    <cellStyle name="Normal" xfId="0" builtinId="0"/>
    <cellStyle name="Normal_Sheet1" xfId="13" xr:uid="{00000000-0005-0000-0000-00000D000000}"/>
    <cellStyle name="Note" xfId="14" xr:uid="{00000000-0005-0000-0000-00000E000000}"/>
    <cellStyle name="Output" xfId="15" xr:uid="{00000000-0005-0000-0000-00000F000000}"/>
    <cellStyle name="Title" xfId="16" xr:uid="{00000000-0005-0000-0000-000010000000}"/>
    <cellStyle name="Total" xfId="17" xr:uid="{00000000-0005-0000-0000-000011000000}"/>
    <cellStyle name="Warning Text" xfId="18" xr:uid="{00000000-0005-0000-0000-000012000000}"/>
  </cellStyles>
  <dxfs count="4">
    <dxf>
      <fill>
        <patternFill>
          <bgColor indexed="10"/>
        </patternFill>
      </fill>
    </dxf>
    <dxf>
      <font>
        <b/>
        <i val="0"/>
        <condense val="0"/>
        <extend val="0"/>
        <color indexed="16"/>
      </font>
    </dxf>
    <dxf>
      <fill>
        <patternFill patternType="lightUp"/>
      </fill>
    </dxf>
    <dxf>
      <fill>
        <patternFill>
          <bgColor indexed="1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60082</xdr:colOff>
      <xdr:row>2</xdr:row>
      <xdr:rowOff>3242</xdr:rowOff>
    </xdr:from>
    <xdr:to>
      <xdr:col>1</xdr:col>
      <xdr:colOff>1955260</xdr:colOff>
      <xdr:row>4</xdr:row>
      <xdr:rowOff>62794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0E058D-A6C1-5702-4EF8-2FC6D53AA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6984" y="376136"/>
          <a:ext cx="1895178" cy="4454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428625</xdr:colOff>
      <xdr:row>12</xdr:row>
      <xdr:rowOff>133350</xdr:rowOff>
    </xdr:from>
    <xdr:to>
      <xdr:col>2</xdr:col>
      <xdr:colOff>6066644</xdr:colOff>
      <xdr:row>40</xdr:row>
      <xdr:rowOff>180302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93E3559-F3CF-0800-4F53-94FBE4C65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" y="2428875"/>
          <a:ext cx="6247619" cy="5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</xdr:row>
          <xdr:rowOff>106680</xdr:rowOff>
        </xdr:from>
        <xdr:to>
          <xdr:col>5</xdr:col>
          <xdr:colOff>2667000</xdr:colOff>
          <xdr:row>3</xdr:row>
          <xdr:rowOff>121920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Results (and set print area)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0</xdr:row>
          <xdr:rowOff>160020</xdr:rowOff>
        </xdr:from>
        <xdr:to>
          <xdr:col>5</xdr:col>
          <xdr:colOff>2659380</xdr:colOff>
          <xdr:row>1</xdr:row>
          <xdr:rowOff>182880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Form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2133600</xdr:colOff>
      <xdr:row>7</xdr:row>
      <xdr:rowOff>178887</xdr:rowOff>
    </xdr:from>
    <xdr:to>
      <xdr:col>5</xdr:col>
      <xdr:colOff>3818606</xdr:colOff>
      <xdr:row>7</xdr:row>
      <xdr:rowOff>1709784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A0D3A7-B478-5FED-F3B5-0F85B8BC9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97517" y="1613549"/>
          <a:ext cx="1685006" cy="1530897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285750</xdr:colOff>
      <xdr:row>7</xdr:row>
      <xdr:rowOff>1122045</xdr:rowOff>
    </xdr:from>
    <xdr:to>
      <xdr:col>25</xdr:col>
      <xdr:colOff>143318</xdr:colOff>
      <xdr:row>17</xdr:row>
      <xdr:rowOff>166403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A01C4D8-6954-6154-F772-78DF99586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0" y="2588895"/>
          <a:ext cx="6772718" cy="2511458"/>
        </a:xfrm>
        <a:prstGeom prst="rect">
          <a:avLst/>
        </a:prstGeom>
      </xdr:spPr>
    </xdr:pic>
    <xdr:clientData/>
  </xdr:twoCellAnchor>
  <xdr:twoCellAnchor editAs="oneCell">
    <xdr:from>
      <xdr:col>14</xdr:col>
      <xdr:colOff>292486</xdr:colOff>
      <xdr:row>19</xdr:row>
      <xdr:rowOff>164122</xdr:rowOff>
    </xdr:from>
    <xdr:to>
      <xdr:col>17</xdr:col>
      <xdr:colOff>561755</xdr:colOff>
      <xdr:row>29</xdr:row>
      <xdr:rowOff>56417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2AA6827-75DC-53D9-AE30-06E6BAFDE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49117" y="5445368"/>
          <a:ext cx="2150823" cy="1650757"/>
        </a:xfrm>
        <a:prstGeom prst="rect">
          <a:avLst/>
        </a:prstGeom>
      </xdr:spPr>
    </xdr:pic>
    <xdr:clientData/>
  </xdr:twoCellAnchor>
  <xdr:twoCellAnchor editAs="oneCell">
    <xdr:from>
      <xdr:col>14</xdr:col>
      <xdr:colOff>298938</xdr:colOff>
      <xdr:row>30</xdr:row>
      <xdr:rowOff>109684</xdr:rowOff>
    </xdr:from>
    <xdr:to>
      <xdr:col>25</xdr:col>
      <xdr:colOff>122080</xdr:colOff>
      <xdr:row>58</xdr:row>
      <xdr:rowOff>37371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8445C3-BA7F-2C44-8A2C-DECB33E53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55569" y="7325238"/>
          <a:ext cx="6722173" cy="4851379"/>
        </a:xfrm>
        <a:prstGeom prst="rect">
          <a:avLst/>
        </a:prstGeom>
      </xdr:spPr>
    </xdr:pic>
    <xdr:clientData/>
  </xdr:twoCellAnchor>
  <xdr:twoCellAnchor editAs="oneCell">
    <xdr:from>
      <xdr:col>14</xdr:col>
      <xdr:colOff>252046</xdr:colOff>
      <xdr:row>59</xdr:row>
      <xdr:rowOff>111848</xdr:rowOff>
    </xdr:from>
    <xdr:to>
      <xdr:col>20</xdr:col>
      <xdr:colOff>486723</xdr:colOff>
      <xdr:row>76</xdr:row>
      <xdr:rowOff>31326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F4D13A0-E251-A6B9-42CC-D87C3B938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08677" y="12426940"/>
          <a:ext cx="3997784" cy="2908863"/>
        </a:xfrm>
        <a:prstGeom prst="rect">
          <a:avLst/>
        </a:prstGeom>
      </xdr:spPr>
    </xdr:pic>
    <xdr:clientData/>
  </xdr:twoCellAnchor>
  <xdr:twoCellAnchor editAs="oneCell">
    <xdr:from>
      <xdr:col>14</xdr:col>
      <xdr:colOff>277906</xdr:colOff>
      <xdr:row>77</xdr:row>
      <xdr:rowOff>110434</xdr:rowOff>
    </xdr:from>
    <xdr:to>
      <xdr:col>20</xdr:col>
      <xdr:colOff>571882</xdr:colOff>
      <xdr:row>95</xdr:row>
      <xdr:rowOff>13222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76DD27D-4DC2-D291-026B-709EF190E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38330" y="15834528"/>
          <a:ext cx="4059152" cy="3130082"/>
        </a:xfrm>
        <a:prstGeom prst="rect">
          <a:avLst/>
        </a:prstGeom>
      </xdr:spPr>
    </xdr:pic>
    <xdr:clientData/>
  </xdr:twoCellAnchor>
  <xdr:twoCellAnchor editAs="oneCell">
    <xdr:from>
      <xdr:col>14</xdr:col>
      <xdr:colOff>349623</xdr:colOff>
      <xdr:row>97</xdr:row>
      <xdr:rowOff>33060</xdr:rowOff>
    </xdr:from>
    <xdr:to>
      <xdr:col>20</xdr:col>
      <xdr:colOff>589352</xdr:colOff>
      <xdr:row>118</xdr:row>
      <xdr:rowOff>161320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56D2710-CD42-579C-1C4E-1735A2BE2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10047" y="19343036"/>
          <a:ext cx="4004905" cy="3893437"/>
        </a:xfrm>
        <a:prstGeom prst="rect">
          <a:avLst/>
        </a:prstGeom>
      </xdr:spPr>
    </xdr:pic>
    <xdr:clientData/>
  </xdr:twoCellAnchor>
  <xdr:twoCellAnchor editAs="oneCell">
    <xdr:from>
      <xdr:col>21</xdr:col>
      <xdr:colOff>152399</xdr:colOff>
      <xdr:row>60</xdr:row>
      <xdr:rowOff>19376</xdr:rowOff>
    </xdr:from>
    <xdr:to>
      <xdr:col>29</xdr:col>
      <xdr:colOff>311292</xdr:colOff>
      <xdr:row>91</xdr:row>
      <xdr:rowOff>129070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27A90CD-0240-CC89-50DE-045B33257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105528" y="12695470"/>
          <a:ext cx="5179129" cy="5667812"/>
        </a:xfrm>
        <a:prstGeom prst="rect">
          <a:avLst/>
        </a:prstGeom>
      </xdr:spPr>
    </xdr:pic>
    <xdr:clientData/>
  </xdr:twoCellAnchor>
  <xdr:twoCellAnchor editAs="oneCell">
    <xdr:from>
      <xdr:col>21</xdr:col>
      <xdr:colOff>188259</xdr:colOff>
      <xdr:row>92</xdr:row>
      <xdr:rowOff>147085</xdr:rowOff>
    </xdr:from>
    <xdr:to>
      <xdr:col>28</xdr:col>
      <xdr:colOff>146453</xdr:colOff>
      <xdr:row>112</xdr:row>
      <xdr:rowOff>63707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30E64BF-4983-31B8-D192-A3CD2FFB2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141388" y="18560591"/>
          <a:ext cx="4350900" cy="3502504"/>
        </a:xfrm>
        <a:prstGeom prst="rect">
          <a:avLst/>
        </a:prstGeom>
      </xdr:spPr>
    </xdr:pic>
    <xdr:clientData/>
  </xdr:twoCellAnchor>
  <xdr:twoCellAnchor editAs="oneCell">
    <xdr:from>
      <xdr:col>21</xdr:col>
      <xdr:colOff>215153</xdr:colOff>
      <xdr:row>114</xdr:row>
      <xdr:rowOff>51244</xdr:rowOff>
    </xdr:from>
    <xdr:to>
      <xdr:col>30</xdr:col>
      <xdr:colOff>41350</xdr:colOff>
      <xdr:row>139</xdr:row>
      <xdr:rowOff>23089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AAFE73E-8A31-0BAC-385C-F385058D5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168282" y="22409220"/>
          <a:ext cx="5473962" cy="4454198"/>
        </a:xfrm>
        <a:prstGeom prst="rect">
          <a:avLst/>
        </a:prstGeom>
      </xdr:spPr>
    </xdr:pic>
    <xdr:clientData/>
  </xdr:twoCellAnchor>
  <xdr:twoCellAnchor editAs="oneCell">
    <xdr:from>
      <xdr:col>25</xdr:col>
      <xdr:colOff>511629</xdr:colOff>
      <xdr:row>7</xdr:row>
      <xdr:rowOff>1186541</xdr:rowOff>
    </xdr:from>
    <xdr:to>
      <xdr:col>34</xdr:col>
      <xdr:colOff>307924</xdr:colOff>
      <xdr:row>27</xdr:row>
      <xdr:rowOff>112198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836D753-96DF-952A-1FBA-26CB37F72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907000" y="2634341"/>
          <a:ext cx="5380667" cy="415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126805</xdr:colOff>
      <xdr:row>121</xdr:row>
      <xdr:rowOff>87086</xdr:rowOff>
    </xdr:from>
    <xdr:to>
      <xdr:col>20</xdr:col>
      <xdr:colOff>512105</xdr:colOff>
      <xdr:row>139</xdr:row>
      <xdr:rowOff>131304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216B22D-95AD-699A-B271-C6C9960DA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696834" y="23132143"/>
          <a:ext cx="4108214" cy="31793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itle">
    <pageSetUpPr fitToPage="1"/>
  </sheetPr>
  <dimension ref="B2:K24"/>
  <sheetViews>
    <sheetView zoomScale="160" zoomScaleNormal="160" workbookViewId="0">
      <selection activeCell="D25" sqref="D25"/>
    </sheetView>
  </sheetViews>
  <sheetFormatPr defaultColWidth="9.109375" defaultRowHeight="14.4" x14ac:dyDescent="0.3"/>
  <cols>
    <col min="1" max="1" width="8.5546875" style="73" customWidth="1"/>
    <col min="2" max="2" width="28.5546875" style="73" customWidth="1"/>
    <col min="3" max="3" width="31" style="73" customWidth="1"/>
    <col min="4" max="4" width="16.109375" style="73" bestFit="1" customWidth="1"/>
    <col min="5" max="5" width="39.5546875" style="73" customWidth="1"/>
    <col min="6" max="6" width="8.5546875" style="73" customWidth="1"/>
    <col min="7" max="7" width="11.5546875" style="73" hidden="1" customWidth="1"/>
    <col min="8" max="8" width="9.109375" style="73" hidden="1" customWidth="1"/>
    <col min="9" max="9" width="7.6640625" style="73" customWidth="1"/>
    <col min="10" max="16384" width="9.109375" style="73"/>
  </cols>
  <sheetData>
    <row r="2" spans="2:10" ht="15" thickBot="1" x14ac:dyDescent="0.35">
      <c r="B2" s="105"/>
      <c r="C2" s="68"/>
      <c r="D2" s="69"/>
      <c r="E2" s="70"/>
      <c r="F2" s="71"/>
      <c r="G2" s="72"/>
    </row>
    <row r="3" spans="2:10" ht="16.5" customHeight="1" x14ac:dyDescent="0.3">
      <c r="B3" s="106"/>
      <c r="C3" s="74"/>
      <c r="D3" s="9" t="s">
        <v>0</v>
      </c>
      <c r="E3" s="75" t="s">
        <v>13</v>
      </c>
      <c r="F3" s="76"/>
      <c r="G3" s="77" t="s">
        <v>2</v>
      </c>
      <c r="H3" s="73" t="s">
        <v>3</v>
      </c>
    </row>
    <row r="4" spans="2:10" x14ac:dyDescent="0.3">
      <c r="B4" s="106"/>
      <c r="C4" s="74"/>
      <c r="D4" s="9" t="s">
        <v>4</v>
      </c>
      <c r="E4" s="78" t="s">
        <v>5</v>
      </c>
      <c r="F4" s="79"/>
      <c r="G4" s="77" t="s">
        <v>1</v>
      </c>
      <c r="H4" s="73" t="s">
        <v>6</v>
      </c>
    </row>
    <row r="5" spans="2:10" ht="15.75" customHeight="1" thickBot="1" x14ac:dyDescent="0.35">
      <c r="B5" s="106"/>
      <c r="C5" s="80"/>
      <c r="D5" s="9" t="s">
        <v>7</v>
      </c>
      <c r="E5" s="81" t="s">
        <v>46</v>
      </c>
      <c r="F5" s="82"/>
      <c r="G5" s="77" t="s">
        <v>8</v>
      </c>
      <c r="H5" s="73" t="s">
        <v>9</v>
      </c>
    </row>
    <row r="6" spans="2:10" ht="15.75" customHeight="1" x14ac:dyDescent="0.3">
      <c r="B6" s="83"/>
      <c r="C6" s="80"/>
      <c r="D6" s="9"/>
      <c r="E6" s="84"/>
      <c r="F6" s="82"/>
      <c r="G6" s="77"/>
    </row>
    <row r="7" spans="2:10" x14ac:dyDescent="0.3">
      <c r="B7" s="83"/>
      <c r="C7" s="80"/>
      <c r="D7" s="3"/>
      <c r="E7" s="85"/>
      <c r="F7" s="71"/>
      <c r="G7" s="77" t="s">
        <v>11</v>
      </c>
      <c r="H7" s="73" t="s">
        <v>12</v>
      </c>
    </row>
    <row r="8" spans="2:10" x14ac:dyDescent="0.3">
      <c r="B8" s="106"/>
      <c r="C8" s="107"/>
      <c r="D8" s="107"/>
      <c r="E8" s="108"/>
      <c r="F8" s="71"/>
      <c r="G8" s="77" t="s">
        <v>13</v>
      </c>
    </row>
    <row r="9" spans="2:10" x14ac:dyDescent="0.3">
      <c r="B9" s="86"/>
      <c r="C9" s="87"/>
      <c r="D9" s="3"/>
      <c r="E9" s="85"/>
      <c r="F9" s="71"/>
      <c r="G9" s="77"/>
    </row>
    <row r="10" spans="2:10" x14ac:dyDescent="0.3">
      <c r="B10" s="88" t="s">
        <v>14</v>
      </c>
      <c r="C10" s="89" t="s">
        <v>15</v>
      </c>
      <c r="D10" s="109" t="s">
        <v>16</v>
      </c>
      <c r="E10" s="109"/>
      <c r="F10" s="77"/>
      <c r="G10" s="90"/>
      <c r="H10" s="90"/>
      <c r="I10" s="90"/>
      <c r="J10" s="90"/>
    </row>
    <row r="11" spans="2:10" x14ac:dyDescent="0.3">
      <c r="B11" s="91" t="s">
        <v>17</v>
      </c>
      <c r="C11" s="92" t="s">
        <v>49</v>
      </c>
      <c r="D11" s="110" t="s">
        <v>50</v>
      </c>
      <c r="E11" s="110"/>
      <c r="F11" s="93"/>
      <c r="G11" s="93"/>
      <c r="H11" s="93"/>
      <c r="I11" s="93"/>
      <c r="J11" s="93"/>
    </row>
    <row r="12" spans="2:10" x14ac:dyDescent="0.3">
      <c r="B12" s="94" t="s">
        <v>18</v>
      </c>
      <c r="C12" s="95"/>
      <c r="D12" s="111"/>
      <c r="E12" s="111"/>
      <c r="F12" s="93"/>
      <c r="G12" s="93"/>
      <c r="H12" s="93"/>
      <c r="I12" s="93"/>
      <c r="J12" s="93"/>
    </row>
    <row r="13" spans="2:10" x14ac:dyDescent="0.3">
      <c r="B13" s="96"/>
      <c r="C13" s="97"/>
      <c r="D13" s="112"/>
      <c r="E13" s="113"/>
      <c r="F13" s="93"/>
      <c r="G13" s="93"/>
      <c r="H13" s="93"/>
      <c r="I13" s="93"/>
      <c r="J13" s="93"/>
    </row>
    <row r="14" spans="2:10" x14ac:dyDescent="0.3">
      <c r="B14" s="98" t="s">
        <v>19</v>
      </c>
      <c r="C14" s="99" t="s">
        <v>15</v>
      </c>
      <c r="D14" s="114" t="s">
        <v>16</v>
      </c>
      <c r="E14" s="114"/>
      <c r="F14" s="93"/>
      <c r="G14" s="93"/>
      <c r="H14" s="93"/>
      <c r="I14" s="93"/>
      <c r="J14" s="93"/>
    </row>
    <row r="15" spans="2:10" x14ac:dyDescent="0.3">
      <c r="B15" s="91" t="s">
        <v>48</v>
      </c>
      <c r="C15" s="100" t="s">
        <v>47</v>
      </c>
      <c r="D15" s="110"/>
      <c r="E15" s="110"/>
      <c r="F15" s="93"/>
      <c r="G15" s="93"/>
      <c r="H15" s="93"/>
      <c r="I15" s="93"/>
      <c r="J15" s="93"/>
    </row>
    <row r="16" spans="2:10" x14ac:dyDescent="0.3">
      <c r="B16" s="91"/>
      <c r="C16" s="92"/>
      <c r="D16" s="110"/>
      <c r="E16" s="110"/>
      <c r="F16" s="93"/>
      <c r="G16" s="93"/>
      <c r="H16" s="93"/>
      <c r="I16" s="93"/>
      <c r="J16" s="93"/>
    </row>
    <row r="17" spans="2:11" x14ac:dyDescent="0.3">
      <c r="B17" s="91"/>
      <c r="C17" s="92"/>
      <c r="D17" s="110"/>
      <c r="E17" s="110"/>
      <c r="F17" s="93"/>
      <c r="G17" s="93"/>
      <c r="H17" s="93"/>
      <c r="I17" s="93"/>
      <c r="J17" s="93"/>
    </row>
    <row r="18" spans="2:11" x14ac:dyDescent="0.3">
      <c r="B18" s="91"/>
      <c r="C18" s="92"/>
      <c r="D18" s="110"/>
      <c r="E18" s="110"/>
      <c r="F18" s="93"/>
      <c r="G18" s="93"/>
      <c r="H18" s="93"/>
      <c r="I18" s="93"/>
      <c r="J18" s="93"/>
    </row>
    <row r="19" spans="2:11" x14ac:dyDescent="0.3">
      <c r="B19" s="101"/>
      <c r="C19" s="102"/>
      <c r="D19" s="102"/>
      <c r="E19" s="102"/>
      <c r="F19" s="102"/>
      <c r="G19" s="93"/>
      <c r="H19" s="93"/>
      <c r="I19" s="93"/>
      <c r="J19" s="93"/>
      <c r="K19" s="93"/>
    </row>
    <row r="20" spans="2:11" x14ac:dyDescent="0.3">
      <c r="G20" s="103"/>
      <c r="H20" s="103"/>
      <c r="I20" s="103"/>
      <c r="J20" s="103"/>
      <c r="K20" s="103"/>
    </row>
    <row r="24" spans="2:11" x14ac:dyDescent="0.3">
      <c r="J24" s="104"/>
    </row>
  </sheetData>
  <sheetProtection insertRows="0" selectLockedCells="1" sort="0"/>
  <mergeCells count="11">
    <mergeCell ref="D18:E18"/>
    <mergeCell ref="D12:E12"/>
    <mergeCell ref="D13:E13"/>
    <mergeCell ref="D14:E14"/>
    <mergeCell ref="D15:E15"/>
    <mergeCell ref="D16:E16"/>
    <mergeCell ref="B2:B5"/>
    <mergeCell ref="B8:E8"/>
    <mergeCell ref="D10:E10"/>
    <mergeCell ref="D11:E11"/>
    <mergeCell ref="D17:E17"/>
  </mergeCells>
  <phoneticPr fontId="0" type="noConversion"/>
  <dataValidations count="1">
    <dataValidation type="list" allowBlank="1" showInputMessage="1" showErrorMessage="1" errorTitle="Wrong review type" error="You must select one of the predefined types." sqref="E3:F3" xr:uid="{00000000-0002-0000-0000-000000000000}">
      <formula1>$G$3:$G$10</formula1>
    </dataValidation>
  </dataValidations>
  <pageMargins left="0.75" right="0.75" top="1" bottom="1" header="0.5" footer="0.5"/>
  <pageSetup paperSize="9" scale="77" orientation="portrait" r:id="rId1"/>
  <headerFooter alignWithMargins="0">
    <oddFooter>&amp;C&amp;"Arial,Regular"&amp;8Benchmark Confidential
HARDCOPIES ARE CONTROLLED ONLY IF THE HARDCOPY CONTROL SECTION IS FILLED IN AND SIGNED. 
OTHER HARDCOPIES ARE UNCONTROLLED. THE MASTER FILE IS AVAILABLE ON THE NETWORK.&amp;R&amp;"Arial,Regular"&amp;8Page &amp;P of &amp;N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C11"/>
  <sheetViews>
    <sheetView zoomScale="85" zoomScaleNormal="85" workbookViewId="0">
      <selection activeCell="E54" sqref="E54"/>
    </sheetView>
  </sheetViews>
  <sheetFormatPr defaultRowHeight="14.4" x14ac:dyDescent="0.3"/>
  <cols>
    <col min="3" max="3" width="94.33203125" bestFit="1" customWidth="1"/>
  </cols>
  <sheetData>
    <row r="2" spans="2:3" ht="15.6" x14ac:dyDescent="0.3">
      <c r="B2" s="32"/>
      <c r="C2" s="33" t="s">
        <v>20</v>
      </c>
    </row>
    <row r="3" spans="2:3" x14ac:dyDescent="0.3">
      <c r="B3" s="34">
        <v>1</v>
      </c>
      <c r="C3" s="35" t="s">
        <v>21</v>
      </c>
    </row>
    <row r="4" spans="2:3" x14ac:dyDescent="0.3">
      <c r="B4" s="34">
        <v>2</v>
      </c>
      <c r="C4" s="35" t="s">
        <v>44</v>
      </c>
    </row>
    <row r="5" spans="2:3" x14ac:dyDescent="0.3">
      <c r="B5" s="34">
        <v>3</v>
      </c>
      <c r="C5" s="35" t="s">
        <v>22</v>
      </c>
    </row>
    <row r="6" spans="2:3" x14ac:dyDescent="0.3">
      <c r="B6" s="34">
        <v>4</v>
      </c>
      <c r="C6" s="35" t="s">
        <v>23</v>
      </c>
    </row>
    <row r="7" spans="2:3" x14ac:dyDescent="0.3">
      <c r="B7" s="34"/>
      <c r="C7" s="35" t="s">
        <v>24</v>
      </c>
    </row>
    <row r="8" spans="2:3" x14ac:dyDescent="0.3">
      <c r="B8" s="34">
        <v>5</v>
      </c>
      <c r="C8" s="35" t="s">
        <v>25</v>
      </c>
    </row>
    <row r="9" spans="2:3" x14ac:dyDescent="0.3">
      <c r="B9" s="34"/>
      <c r="C9" s="36" t="s">
        <v>26</v>
      </c>
    </row>
    <row r="10" spans="2:3" x14ac:dyDescent="0.3">
      <c r="B10" s="34"/>
      <c r="C10" s="36" t="s">
        <v>27</v>
      </c>
    </row>
    <row r="11" spans="2:3" x14ac:dyDescent="0.3">
      <c r="B11" s="37">
        <v>6</v>
      </c>
      <c r="C11" s="38" t="s">
        <v>45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esults">
    <pageSetUpPr fitToPage="1"/>
  </sheetPr>
  <dimension ref="A1:N1004"/>
  <sheetViews>
    <sheetView tabSelected="1" zoomScale="70" zoomScaleNormal="70" workbookViewId="0">
      <pane ySplit="7" topLeftCell="A8" activePane="bottomLeft" state="frozen"/>
      <selection activeCell="D27" sqref="D27"/>
      <selection pane="bottomLeft" activeCell="G135" sqref="G135"/>
    </sheetView>
  </sheetViews>
  <sheetFormatPr defaultColWidth="9.109375" defaultRowHeight="13.8" x14ac:dyDescent="0.3"/>
  <cols>
    <col min="1" max="1" width="5.88671875" style="39" customWidth="1"/>
    <col min="2" max="2" width="12" style="52" bestFit="1" customWidth="1"/>
    <col min="3" max="3" width="10.44140625" style="52" customWidth="1"/>
    <col min="4" max="4" width="6" style="11" customWidth="1"/>
    <col min="5" max="5" width="8.88671875" style="12" customWidth="1"/>
    <col min="6" max="6" width="57.44140625" style="13" customWidth="1"/>
    <col min="7" max="7" width="6.44140625" style="11" customWidth="1"/>
    <col min="8" max="8" width="31.33203125" style="13" customWidth="1"/>
    <col min="9" max="9" width="6.44140625" style="14" customWidth="1"/>
    <col min="10" max="10" width="9.109375" style="3"/>
    <col min="11" max="13" width="9.109375" style="3" hidden="1" customWidth="1"/>
    <col min="14" max="14" width="0" style="3" hidden="1" customWidth="1"/>
    <col min="15" max="16384" width="9.109375" style="3"/>
  </cols>
  <sheetData>
    <row r="1" spans="1:14" ht="16.5" customHeight="1" thickBot="1" x14ac:dyDescent="0.35">
      <c r="A1" s="21"/>
      <c r="B1" s="46"/>
      <c r="C1" s="46"/>
      <c r="D1" s="22"/>
      <c r="E1" s="23"/>
      <c r="F1" s="24"/>
      <c r="G1" s="25"/>
      <c r="H1" s="26" t="s">
        <v>28</v>
      </c>
      <c r="I1" s="27"/>
      <c r="J1" s="1"/>
      <c r="K1" s="2"/>
    </row>
    <row r="2" spans="1:14" ht="16.5" customHeight="1" x14ac:dyDescent="0.3">
      <c r="A2" s="28"/>
      <c r="B2" s="47"/>
      <c r="C2" s="47"/>
      <c r="D2" s="4"/>
      <c r="E2" s="4"/>
      <c r="F2" s="5"/>
      <c r="G2" s="6" t="s">
        <v>0</v>
      </c>
      <c r="H2" s="17" t="str">
        <f>'Title sheet'!E3</f>
        <v>Schematics / Layout</v>
      </c>
      <c r="I2" s="29"/>
      <c r="J2" s="7"/>
      <c r="K2" s="3" t="s">
        <v>29</v>
      </c>
      <c r="L2" s="8" t="b">
        <v>0</v>
      </c>
      <c r="M2" s="3" t="s">
        <v>30</v>
      </c>
      <c r="N2" s="3" t="s">
        <v>31</v>
      </c>
    </row>
    <row r="3" spans="1:14" ht="16.5" customHeight="1" x14ac:dyDescent="0.3">
      <c r="A3" s="28"/>
      <c r="B3" s="47"/>
      <c r="C3" s="47"/>
      <c r="D3" s="4"/>
      <c r="E3" s="4"/>
      <c r="F3" s="5"/>
      <c r="G3" s="6" t="s">
        <v>4</v>
      </c>
      <c r="H3" s="18" t="str">
        <f>'Title sheet'!E4</f>
        <v>&lt;Name of the document under review&gt;</v>
      </c>
      <c r="I3" s="29"/>
      <c r="J3" s="7"/>
      <c r="K3" s="3" t="s">
        <v>32</v>
      </c>
      <c r="M3" s="3" t="s">
        <v>33</v>
      </c>
      <c r="N3" s="3" t="s">
        <v>34</v>
      </c>
    </row>
    <row r="4" spans="1:14" ht="16.5" customHeight="1" x14ac:dyDescent="0.3">
      <c r="A4" s="30"/>
      <c r="B4" s="48"/>
      <c r="C4" s="49"/>
      <c r="D4" s="4"/>
      <c r="E4" s="4"/>
      <c r="F4" s="5"/>
      <c r="G4" s="9" t="s">
        <v>7</v>
      </c>
      <c r="H4" s="19" t="str">
        <f>'Title sheet'!E5</f>
        <v>0.2</v>
      </c>
      <c r="I4" s="29"/>
      <c r="J4" s="7"/>
      <c r="K4" s="3" t="s">
        <v>35</v>
      </c>
      <c r="M4" s="3" t="s">
        <v>36</v>
      </c>
    </row>
    <row r="5" spans="1:14" ht="16.5" customHeight="1" thickBot="1" x14ac:dyDescent="0.35">
      <c r="A5" s="28"/>
      <c r="B5" s="48" t="s">
        <v>10</v>
      </c>
      <c r="C5" s="49">
        <f>'Title sheet'!C7</f>
        <v>0</v>
      </c>
      <c r="D5" s="4"/>
      <c r="E5" s="4"/>
      <c r="F5" s="5"/>
      <c r="G5" s="6" t="s">
        <v>18</v>
      </c>
      <c r="H5" s="20">
        <f>'Title sheet'!C12</f>
        <v>0</v>
      </c>
      <c r="I5" s="29"/>
      <c r="J5" s="7"/>
      <c r="M5" s="3" t="s">
        <v>37</v>
      </c>
    </row>
    <row r="6" spans="1:14" ht="16.5" customHeight="1" x14ac:dyDescent="0.3">
      <c r="A6" s="31"/>
      <c r="B6" s="50"/>
      <c r="C6" s="50"/>
      <c r="D6" s="15"/>
      <c r="E6" s="16"/>
      <c r="F6" s="5"/>
      <c r="G6" s="4"/>
      <c r="H6" s="10"/>
      <c r="I6" s="29"/>
    </row>
    <row r="7" spans="1:14" ht="16.5" customHeight="1" x14ac:dyDescent="0.3">
      <c r="A7" s="61" t="s">
        <v>38</v>
      </c>
      <c r="B7" s="62" t="str">
        <f>IF(H2='Title sheet'!G4,"Page",IF(H2='Title sheet'!G5,"File",IF(H2='Title sheet'!G7,"Sheet",IF(H2='Title sheet'!G8,"Sheet",IF(H2='Title sheet'!F10,"Sheet","")))))</f>
        <v>Sheet</v>
      </c>
      <c r="C7" s="62" t="str">
        <f>IF(H2='Title sheet'!G4,"Line",IF(H2='Title sheet'!G5,"Line",IF(H2='Title sheet'!G7,"Coord.",IF(H2='Title sheet'!G8,"Component",IF(H2='Title sheet'!F10,"Cel","")))))</f>
        <v>Component</v>
      </c>
      <c r="D7" s="63" t="s">
        <v>30</v>
      </c>
      <c r="E7" s="64" t="s">
        <v>39</v>
      </c>
      <c r="F7" s="65" t="s">
        <v>40</v>
      </c>
      <c r="G7" s="66" t="s">
        <v>41</v>
      </c>
      <c r="H7" s="67" t="s">
        <v>42</v>
      </c>
      <c r="I7" s="66" t="s">
        <v>43</v>
      </c>
    </row>
    <row r="8" spans="1:14" ht="150" customHeight="1" x14ac:dyDescent="0.3">
      <c r="A8" s="40"/>
      <c r="B8" s="51" t="s">
        <v>51</v>
      </c>
      <c r="C8" s="51"/>
      <c r="D8" s="41"/>
      <c r="E8" s="56"/>
      <c r="F8" s="42" t="s">
        <v>52</v>
      </c>
      <c r="G8" s="43"/>
      <c r="H8" s="44"/>
      <c r="I8" s="45"/>
    </row>
    <row r="9" spans="1:14" x14ac:dyDescent="0.3">
      <c r="E9" s="57"/>
      <c r="F9" s="13" t="s">
        <v>53</v>
      </c>
      <c r="G9" s="53"/>
      <c r="H9" s="54"/>
      <c r="I9" s="55"/>
    </row>
    <row r="10" spans="1:14" x14ac:dyDescent="0.3">
      <c r="E10" s="57"/>
      <c r="F10" s="13" t="s">
        <v>54</v>
      </c>
      <c r="G10" s="53"/>
      <c r="H10" s="54"/>
      <c r="I10" s="55"/>
    </row>
    <row r="11" spans="1:14" ht="14.4" x14ac:dyDescent="0.3">
      <c r="F11" s="13" t="s">
        <v>55</v>
      </c>
      <c r="G11" s="53"/>
      <c r="H11" s="59"/>
      <c r="I11" s="55"/>
      <c r="J11" s="60"/>
    </row>
    <row r="12" spans="1:14" x14ac:dyDescent="0.3">
      <c r="E12" s="57"/>
      <c r="F12" s="13" t="s">
        <v>56</v>
      </c>
      <c r="G12" s="53"/>
      <c r="H12" s="54"/>
      <c r="I12" s="55"/>
    </row>
    <row r="13" spans="1:14" x14ac:dyDescent="0.3">
      <c r="E13" s="57"/>
      <c r="F13" s="13" t="s">
        <v>57</v>
      </c>
      <c r="G13" s="53"/>
      <c r="H13" s="54"/>
      <c r="I13" s="55"/>
    </row>
    <row r="14" spans="1:14" x14ac:dyDescent="0.3">
      <c r="E14" s="57"/>
      <c r="F14" s="13" t="s">
        <v>58</v>
      </c>
      <c r="G14" s="53"/>
      <c r="H14" s="54"/>
      <c r="I14" s="55"/>
    </row>
    <row r="15" spans="1:14" x14ac:dyDescent="0.3">
      <c r="E15" s="57"/>
      <c r="F15" s="13" t="s">
        <v>59</v>
      </c>
      <c r="G15" s="53"/>
      <c r="H15" s="54"/>
      <c r="I15" s="55"/>
    </row>
    <row r="16" spans="1:14" x14ac:dyDescent="0.3">
      <c r="E16" s="57"/>
      <c r="G16" s="53"/>
      <c r="H16" s="54"/>
      <c r="I16" s="55"/>
    </row>
    <row r="17" spans="5:9" x14ac:dyDescent="0.3">
      <c r="G17" s="53"/>
      <c r="H17" s="54"/>
      <c r="I17" s="55"/>
    </row>
    <row r="18" spans="5:9" x14ac:dyDescent="0.3">
      <c r="G18" s="53"/>
      <c r="H18" s="54"/>
      <c r="I18" s="55"/>
    </row>
    <row r="19" spans="5:9" x14ac:dyDescent="0.3">
      <c r="E19" s="57"/>
      <c r="G19" s="53"/>
      <c r="H19" s="54"/>
      <c r="I19" s="55"/>
    </row>
    <row r="20" spans="5:9" x14ac:dyDescent="0.3">
      <c r="G20" s="53"/>
      <c r="H20" s="54"/>
      <c r="I20" s="55"/>
    </row>
    <row r="21" spans="5:9" x14ac:dyDescent="0.3">
      <c r="E21" s="57"/>
      <c r="G21" s="53"/>
      <c r="H21" s="54"/>
      <c r="I21" s="55"/>
    </row>
    <row r="22" spans="5:9" x14ac:dyDescent="0.3">
      <c r="E22" s="57"/>
      <c r="G22" s="53"/>
      <c r="H22" s="54"/>
      <c r="I22" s="55"/>
    </row>
    <row r="23" spans="5:9" x14ac:dyDescent="0.3">
      <c r="G23" s="53"/>
      <c r="H23" s="54"/>
      <c r="I23" s="55"/>
    </row>
    <row r="24" spans="5:9" x14ac:dyDescent="0.3">
      <c r="G24" s="53"/>
      <c r="H24" s="54"/>
      <c r="I24" s="55"/>
    </row>
    <row r="25" spans="5:9" x14ac:dyDescent="0.3">
      <c r="E25" s="57"/>
      <c r="G25" s="53"/>
      <c r="H25" s="54"/>
      <c r="I25" s="55"/>
    </row>
    <row r="26" spans="5:9" x14ac:dyDescent="0.3">
      <c r="E26" s="57"/>
      <c r="G26" s="53"/>
      <c r="H26" s="54"/>
      <c r="I26" s="55"/>
    </row>
    <row r="27" spans="5:9" x14ac:dyDescent="0.3">
      <c r="E27" s="57"/>
      <c r="G27" s="53"/>
      <c r="H27" s="54"/>
      <c r="I27" s="55"/>
    </row>
    <row r="28" spans="5:9" x14ac:dyDescent="0.3">
      <c r="E28" s="57"/>
      <c r="G28" s="53"/>
      <c r="H28" s="54"/>
      <c r="I28" s="55"/>
    </row>
    <row r="29" spans="5:9" x14ac:dyDescent="0.3">
      <c r="E29" s="57"/>
      <c r="G29" s="53"/>
      <c r="H29" s="54"/>
      <c r="I29" s="55"/>
    </row>
    <row r="30" spans="5:9" x14ac:dyDescent="0.3">
      <c r="G30" s="53"/>
      <c r="H30" s="54"/>
      <c r="I30" s="55"/>
    </row>
    <row r="31" spans="5:9" x14ac:dyDescent="0.3">
      <c r="E31" s="57"/>
      <c r="G31" s="53"/>
      <c r="H31" s="54"/>
      <c r="I31" s="55"/>
    </row>
    <row r="32" spans="5:9" x14ac:dyDescent="0.3">
      <c r="E32" s="57"/>
      <c r="G32" s="53"/>
      <c r="H32" s="54"/>
      <c r="I32" s="55"/>
    </row>
    <row r="33" spans="3:9" x14ac:dyDescent="0.3">
      <c r="G33" s="53"/>
      <c r="H33" s="54"/>
      <c r="I33" s="55"/>
    </row>
    <row r="34" spans="3:9" x14ac:dyDescent="0.3">
      <c r="G34" s="53"/>
      <c r="H34" s="54"/>
      <c r="I34" s="55"/>
    </row>
    <row r="35" spans="3:9" x14ac:dyDescent="0.3">
      <c r="E35" s="57"/>
      <c r="G35" s="53"/>
      <c r="H35" s="54"/>
      <c r="I35" s="55"/>
    </row>
    <row r="36" spans="3:9" x14ac:dyDescent="0.3">
      <c r="G36" s="53"/>
      <c r="H36" s="54"/>
      <c r="I36" s="55"/>
    </row>
    <row r="37" spans="3:9" x14ac:dyDescent="0.3">
      <c r="E37" s="57"/>
      <c r="G37" s="53"/>
      <c r="H37" s="54"/>
      <c r="I37" s="55"/>
    </row>
    <row r="38" spans="3:9" x14ac:dyDescent="0.3">
      <c r="E38" s="57"/>
      <c r="G38" s="53"/>
      <c r="H38" s="54"/>
      <c r="I38" s="55"/>
    </row>
    <row r="39" spans="3:9" x14ac:dyDescent="0.3">
      <c r="G39" s="53"/>
      <c r="H39" s="54"/>
      <c r="I39" s="55"/>
    </row>
    <row r="40" spans="3:9" x14ac:dyDescent="0.3">
      <c r="E40" s="57"/>
      <c r="G40" s="53"/>
      <c r="H40" s="54"/>
      <c r="I40" s="55"/>
    </row>
    <row r="41" spans="3:9" x14ac:dyDescent="0.3">
      <c r="E41" s="57"/>
      <c r="G41" s="53"/>
      <c r="H41" s="54"/>
      <c r="I41" s="55"/>
    </row>
    <row r="42" spans="3:9" x14ac:dyDescent="0.3">
      <c r="G42" s="53"/>
      <c r="H42" s="54"/>
      <c r="I42" s="55"/>
    </row>
    <row r="43" spans="3:9" x14ac:dyDescent="0.3">
      <c r="G43" s="53"/>
      <c r="H43" s="54"/>
      <c r="I43" s="55"/>
    </row>
    <row r="44" spans="3:9" x14ac:dyDescent="0.3">
      <c r="E44" s="57"/>
      <c r="G44" s="53"/>
      <c r="H44" s="54"/>
      <c r="I44" s="55"/>
    </row>
    <row r="45" spans="3:9" x14ac:dyDescent="0.3">
      <c r="C45" s="58"/>
      <c r="E45" s="57"/>
      <c r="G45" s="53"/>
      <c r="H45" s="54"/>
      <c r="I45" s="55"/>
    </row>
    <row r="46" spans="3:9" x14ac:dyDescent="0.3">
      <c r="C46" s="58"/>
      <c r="E46" s="57"/>
      <c r="G46" s="53"/>
      <c r="H46" s="54"/>
      <c r="I46" s="55"/>
    </row>
    <row r="47" spans="3:9" x14ac:dyDescent="0.3">
      <c r="E47" s="57"/>
      <c r="G47" s="53"/>
      <c r="H47" s="54"/>
      <c r="I47" s="55"/>
    </row>
    <row r="48" spans="3:9" x14ac:dyDescent="0.3">
      <c r="G48" s="53"/>
      <c r="H48" s="54"/>
      <c r="I48" s="55"/>
    </row>
    <row r="49" spans="5:9" x14ac:dyDescent="0.3">
      <c r="E49" s="57"/>
      <c r="G49" s="53"/>
      <c r="H49" s="54"/>
      <c r="I49" s="55"/>
    </row>
    <row r="50" spans="5:9" x14ac:dyDescent="0.3">
      <c r="E50" s="57"/>
      <c r="G50" s="53"/>
      <c r="H50" s="54"/>
      <c r="I50" s="55"/>
    </row>
    <row r="51" spans="5:9" x14ac:dyDescent="0.3">
      <c r="E51" s="57"/>
      <c r="G51" s="53"/>
      <c r="H51" s="54"/>
      <c r="I51" s="55"/>
    </row>
    <row r="52" spans="5:9" x14ac:dyDescent="0.3">
      <c r="G52" s="53"/>
      <c r="H52" s="54"/>
      <c r="I52" s="55"/>
    </row>
    <row r="53" spans="5:9" x14ac:dyDescent="0.3">
      <c r="E53" s="57"/>
      <c r="G53" s="53"/>
      <c r="H53" s="54"/>
      <c r="I53" s="55"/>
    </row>
    <row r="54" spans="5:9" x14ac:dyDescent="0.3">
      <c r="E54" s="57"/>
      <c r="G54" s="53"/>
      <c r="H54" s="54"/>
      <c r="I54" s="55"/>
    </row>
    <row r="55" spans="5:9" x14ac:dyDescent="0.3">
      <c r="E55" s="57"/>
      <c r="G55" s="53"/>
      <c r="H55" s="54"/>
      <c r="I55" s="55"/>
    </row>
    <row r="56" spans="5:9" x14ac:dyDescent="0.3">
      <c r="E56" s="57"/>
      <c r="G56" s="53"/>
      <c r="H56" s="54"/>
      <c r="I56" s="55"/>
    </row>
    <row r="57" spans="5:9" x14ac:dyDescent="0.3">
      <c r="E57" s="57"/>
      <c r="G57" s="53"/>
      <c r="H57" s="54"/>
      <c r="I57" s="55"/>
    </row>
    <row r="58" spans="5:9" x14ac:dyDescent="0.3">
      <c r="E58" s="57"/>
      <c r="G58" s="53"/>
      <c r="H58" s="54"/>
      <c r="I58" s="55"/>
    </row>
    <row r="59" spans="5:9" x14ac:dyDescent="0.3">
      <c r="E59" s="57"/>
      <c r="G59" s="53"/>
      <c r="H59" s="54"/>
      <c r="I59" s="55"/>
    </row>
    <row r="60" spans="5:9" x14ac:dyDescent="0.3">
      <c r="E60" s="57"/>
      <c r="G60" s="53"/>
      <c r="H60" s="54"/>
      <c r="I60" s="55"/>
    </row>
    <row r="61" spans="5:9" x14ac:dyDescent="0.3">
      <c r="E61" s="57"/>
      <c r="G61" s="53"/>
      <c r="H61" s="54"/>
      <c r="I61" s="55"/>
    </row>
    <row r="62" spans="5:9" x14ac:dyDescent="0.3">
      <c r="E62" s="57"/>
      <c r="G62" s="53"/>
      <c r="H62" s="54"/>
      <c r="I62" s="55"/>
    </row>
    <row r="63" spans="5:9" x14ac:dyDescent="0.3">
      <c r="E63" s="57"/>
      <c r="G63" s="53"/>
      <c r="H63" s="54"/>
      <c r="I63" s="55"/>
    </row>
    <row r="64" spans="5:9" x14ac:dyDescent="0.3">
      <c r="E64" s="57"/>
      <c r="G64" s="53"/>
      <c r="H64" s="54"/>
      <c r="I64" s="55"/>
    </row>
    <row r="65" spans="5:9" x14ac:dyDescent="0.3">
      <c r="E65" s="57"/>
      <c r="G65" s="53"/>
      <c r="H65" s="54"/>
      <c r="I65" s="55"/>
    </row>
    <row r="66" spans="5:9" x14ac:dyDescent="0.3">
      <c r="E66" s="57"/>
      <c r="G66" s="53"/>
      <c r="H66" s="54"/>
      <c r="I66" s="55"/>
    </row>
    <row r="67" spans="5:9" x14ac:dyDescent="0.3">
      <c r="E67" s="57"/>
      <c r="G67" s="53"/>
      <c r="H67" s="54"/>
      <c r="I67" s="55"/>
    </row>
    <row r="68" spans="5:9" x14ac:dyDescent="0.3">
      <c r="E68" s="57"/>
      <c r="G68" s="53"/>
      <c r="H68" s="54"/>
      <c r="I68" s="55"/>
    </row>
    <row r="69" spans="5:9" x14ac:dyDescent="0.3">
      <c r="E69" s="57"/>
      <c r="G69" s="53"/>
      <c r="H69" s="54"/>
      <c r="I69" s="55"/>
    </row>
    <row r="70" spans="5:9" x14ac:dyDescent="0.3">
      <c r="E70" s="57"/>
      <c r="G70" s="53"/>
      <c r="H70" s="54"/>
      <c r="I70" s="55"/>
    </row>
    <row r="71" spans="5:9" x14ac:dyDescent="0.3">
      <c r="E71" s="57"/>
      <c r="G71" s="53"/>
      <c r="H71" s="54"/>
      <c r="I71" s="55"/>
    </row>
    <row r="72" spans="5:9" x14ac:dyDescent="0.3">
      <c r="E72" s="57"/>
      <c r="G72" s="53"/>
      <c r="H72" s="54"/>
      <c r="I72" s="55"/>
    </row>
    <row r="73" spans="5:9" x14ac:dyDescent="0.3">
      <c r="E73" s="57"/>
      <c r="G73" s="53"/>
      <c r="H73" s="54"/>
      <c r="I73" s="55"/>
    </row>
    <row r="74" spans="5:9" x14ac:dyDescent="0.3">
      <c r="E74" s="57"/>
      <c r="G74" s="53"/>
      <c r="H74" s="54"/>
      <c r="I74" s="55"/>
    </row>
    <row r="75" spans="5:9" x14ac:dyDescent="0.3">
      <c r="E75" s="57"/>
      <c r="G75" s="53"/>
      <c r="H75" s="54"/>
      <c r="I75" s="55"/>
    </row>
    <row r="76" spans="5:9" x14ac:dyDescent="0.3">
      <c r="E76" s="57"/>
      <c r="G76" s="53"/>
      <c r="H76" s="54"/>
      <c r="I76" s="55"/>
    </row>
    <row r="77" spans="5:9" x14ac:dyDescent="0.3">
      <c r="E77" s="57"/>
      <c r="G77" s="53"/>
      <c r="H77" s="54"/>
      <c r="I77" s="55"/>
    </row>
    <row r="78" spans="5:9" x14ac:dyDescent="0.3">
      <c r="E78" s="57"/>
      <c r="G78" s="53"/>
      <c r="H78" s="54"/>
      <c r="I78" s="55"/>
    </row>
    <row r="79" spans="5:9" x14ac:dyDescent="0.3">
      <c r="E79" s="57"/>
      <c r="G79" s="53"/>
      <c r="H79" s="54"/>
      <c r="I79" s="55"/>
    </row>
    <row r="80" spans="5:9" x14ac:dyDescent="0.3">
      <c r="E80" s="57"/>
      <c r="G80" s="53"/>
      <c r="H80" s="54"/>
      <c r="I80" s="55"/>
    </row>
    <row r="81" spans="5:9" x14ac:dyDescent="0.3">
      <c r="E81" s="57"/>
      <c r="G81" s="53"/>
      <c r="H81" s="54"/>
      <c r="I81" s="55"/>
    </row>
    <row r="82" spans="5:9" x14ac:dyDescent="0.3">
      <c r="E82" s="57"/>
      <c r="G82" s="53"/>
      <c r="H82" s="54"/>
      <c r="I82" s="55"/>
    </row>
    <row r="83" spans="5:9" x14ac:dyDescent="0.3">
      <c r="E83" s="57"/>
      <c r="G83" s="53"/>
      <c r="H83" s="54"/>
      <c r="I83" s="55"/>
    </row>
    <row r="84" spans="5:9" x14ac:dyDescent="0.3">
      <c r="E84" s="57"/>
      <c r="G84" s="53"/>
      <c r="H84" s="54"/>
      <c r="I84" s="55"/>
    </row>
    <row r="85" spans="5:9" x14ac:dyDescent="0.3">
      <c r="E85" s="57"/>
      <c r="G85" s="53"/>
      <c r="H85" s="54"/>
      <c r="I85" s="55"/>
    </row>
    <row r="86" spans="5:9" x14ac:dyDescent="0.3">
      <c r="E86" s="57"/>
      <c r="G86" s="53"/>
      <c r="H86" s="54"/>
      <c r="I86" s="55"/>
    </row>
    <row r="87" spans="5:9" x14ac:dyDescent="0.3">
      <c r="E87" s="57"/>
      <c r="G87" s="53"/>
      <c r="H87" s="54"/>
      <c r="I87" s="55"/>
    </row>
    <row r="88" spans="5:9" x14ac:dyDescent="0.3">
      <c r="E88" s="57"/>
      <c r="G88" s="53"/>
      <c r="H88" s="54"/>
      <c r="I88" s="55"/>
    </row>
    <row r="89" spans="5:9" x14ac:dyDescent="0.3">
      <c r="E89" s="57"/>
      <c r="G89" s="53"/>
      <c r="H89" s="54"/>
      <c r="I89" s="55"/>
    </row>
    <row r="90" spans="5:9" x14ac:dyDescent="0.3">
      <c r="E90" s="57"/>
      <c r="G90" s="53"/>
      <c r="H90" s="54"/>
      <c r="I90" s="55"/>
    </row>
    <row r="91" spans="5:9" x14ac:dyDescent="0.3">
      <c r="E91" s="57"/>
      <c r="G91" s="53"/>
      <c r="H91" s="54"/>
      <c r="I91" s="55"/>
    </row>
    <row r="92" spans="5:9" x14ac:dyDescent="0.3">
      <c r="E92" s="57"/>
      <c r="G92" s="53"/>
      <c r="H92" s="54"/>
      <c r="I92" s="55"/>
    </row>
    <row r="93" spans="5:9" x14ac:dyDescent="0.3">
      <c r="E93" s="57"/>
      <c r="G93" s="53"/>
      <c r="H93" s="54"/>
      <c r="I93" s="55"/>
    </row>
    <row r="94" spans="5:9" x14ac:dyDescent="0.3">
      <c r="E94" s="57"/>
      <c r="G94" s="53"/>
      <c r="H94" s="54"/>
      <c r="I94" s="55"/>
    </row>
    <row r="95" spans="5:9" x14ac:dyDescent="0.3">
      <c r="E95" s="57"/>
      <c r="G95" s="53"/>
      <c r="H95" s="54"/>
      <c r="I95" s="55"/>
    </row>
    <row r="96" spans="5:9" x14ac:dyDescent="0.3">
      <c r="E96" s="57"/>
      <c r="G96" s="53"/>
      <c r="H96" s="54"/>
      <c r="I96" s="55"/>
    </row>
    <row r="97" spans="5:9" x14ac:dyDescent="0.3">
      <c r="E97" s="57"/>
      <c r="G97" s="53"/>
      <c r="H97" s="54"/>
      <c r="I97" s="55"/>
    </row>
    <row r="98" spans="5:9" x14ac:dyDescent="0.3">
      <c r="E98" s="57"/>
      <c r="G98" s="53"/>
      <c r="H98" s="54"/>
      <c r="I98" s="55"/>
    </row>
    <row r="99" spans="5:9" x14ac:dyDescent="0.3">
      <c r="E99" s="57"/>
      <c r="G99" s="53"/>
      <c r="H99" s="54"/>
      <c r="I99" s="55"/>
    </row>
    <row r="100" spans="5:9" x14ac:dyDescent="0.3">
      <c r="E100" s="57"/>
      <c r="G100" s="53"/>
      <c r="H100" s="54"/>
      <c r="I100" s="55"/>
    </row>
    <row r="101" spans="5:9" x14ac:dyDescent="0.3">
      <c r="E101" s="57"/>
      <c r="G101" s="53"/>
      <c r="H101" s="54"/>
      <c r="I101" s="55"/>
    </row>
    <row r="102" spans="5:9" x14ac:dyDescent="0.3">
      <c r="E102" s="57"/>
      <c r="G102" s="53"/>
      <c r="H102" s="54"/>
      <c r="I102" s="55"/>
    </row>
    <row r="103" spans="5:9" x14ac:dyDescent="0.3">
      <c r="E103" s="57"/>
      <c r="G103" s="53"/>
      <c r="H103" s="54"/>
      <c r="I103" s="55"/>
    </row>
    <row r="104" spans="5:9" x14ac:dyDescent="0.3">
      <c r="E104" s="57"/>
      <c r="G104" s="53"/>
      <c r="H104" s="54"/>
      <c r="I104" s="55"/>
    </row>
    <row r="105" spans="5:9" x14ac:dyDescent="0.3">
      <c r="E105" s="57"/>
      <c r="G105" s="53"/>
      <c r="H105" s="54"/>
      <c r="I105" s="55"/>
    </row>
    <row r="106" spans="5:9" x14ac:dyDescent="0.3">
      <c r="E106" s="57"/>
      <c r="G106" s="53"/>
      <c r="H106" s="54"/>
      <c r="I106" s="55"/>
    </row>
    <row r="107" spans="5:9" x14ac:dyDescent="0.3">
      <c r="E107" s="57"/>
      <c r="G107" s="53"/>
      <c r="H107" s="54"/>
      <c r="I107" s="55"/>
    </row>
    <row r="108" spans="5:9" x14ac:dyDescent="0.3">
      <c r="E108" s="57"/>
      <c r="G108" s="53"/>
      <c r="H108" s="54"/>
      <c r="I108" s="55"/>
    </row>
    <row r="109" spans="5:9" x14ac:dyDescent="0.3">
      <c r="E109" s="57"/>
      <c r="G109" s="53"/>
      <c r="H109" s="54"/>
      <c r="I109" s="55"/>
    </row>
    <row r="110" spans="5:9" x14ac:dyDescent="0.3">
      <c r="E110" s="57"/>
      <c r="G110" s="53"/>
      <c r="H110" s="54"/>
      <c r="I110" s="55"/>
    </row>
    <row r="111" spans="5:9" x14ac:dyDescent="0.3">
      <c r="E111" s="57"/>
      <c r="G111" s="53"/>
      <c r="H111" s="54"/>
      <c r="I111" s="55"/>
    </row>
    <row r="112" spans="5:9" x14ac:dyDescent="0.3">
      <c r="E112" s="57"/>
      <c r="G112" s="53"/>
      <c r="H112" s="54"/>
      <c r="I112" s="55"/>
    </row>
    <row r="113" spans="5:9" x14ac:dyDescent="0.3">
      <c r="E113" s="57"/>
      <c r="G113" s="53"/>
      <c r="H113" s="54"/>
      <c r="I113" s="55"/>
    </row>
    <row r="114" spans="5:9" x14ac:dyDescent="0.3">
      <c r="E114" s="57"/>
      <c r="G114" s="53"/>
      <c r="H114" s="54"/>
      <c r="I114" s="55"/>
    </row>
    <row r="115" spans="5:9" x14ac:dyDescent="0.3">
      <c r="E115" s="57"/>
      <c r="G115" s="53"/>
      <c r="H115" s="54"/>
      <c r="I115" s="55"/>
    </row>
    <row r="116" spans="5:9" x14ac:dyDescent="0.3">
      <c r="E116" s="57"/>
      <c r="G116" s="53"/>
      <c r="H116" s="54"/>
      <c r="I116" s="55"/>
    </row>
    <row r="117" spans="5:9" x14ac:dyDescent="0.3">
      <c r="E117" s="57"/>
      <c r="G117" s="53"/>
      <c r="H117" s="54"/>
      <c r="I117" s="55"/>
    </row>
    <row r="118" spans="5:9" x14ac:dyDescent="0.3">
      <c r="E118" s="57"/>
      <c r="G118" s="53"/>
      <c r="H118" s="54"/>
      <c r="I118" s="55"/>
    </row>
    <row r="119" spans="5:9" x14ac:dyDescent="0.3">
      <c r="E119" s="57"/>
      <c r="G119" s="53"/>
      <c r="H119" s="54"/>
      <c r="I119" s="55"/>
    </row>
    <row r="120" spans="5:9" x14ac:dyDescent="0.3">
      <c r="E120" s="57"/>
      <c r="G120" s="53"/>
      <c r="H120" s="54"/>
      <c r="I120" s="55"/>
    </row>
    <row r="121" spans="5:9" x14ac:dyDescent="0.3">
      <c r="E121" s="57"/>
      <c r="G121" s="53"/>
      <c r="H121" s="54"/>
      <c r="I121" s="55"/>
    </row>
    <row r="122" spans="5:9" x14ac:dyDescent="0.3">
      <c r="E122" s="57"/>
      <c r="G122" s="53"/>
      <c r="H122" s="54"/>
      <c r="I122" s="55"/>
    </row>
    <row r="123" spans="5:9" x14ac:dyDescent="0.3">
      <c r="E123" s="57"/>
      <c r="G123" s="53"/>
      <c r="H123" s="54"/>
      <c r="I123" s="55"/>
    </row>
    <row r="124" spans="5:9" x14ac:dyDescent="0.3">
      <c r="E124" s="57"/>
      <c r="G124" s="53"/>
      <c r="H124" s="54"/>
      <c r="I124" s="55"/>
    </row>
    <row r="125" spans="5:9" x14ac:dyDescent="0.3">
      <c r="E125" s="57"/>
      <c r="G125" s="53"/>
      <c r="H125" s="54"/>
      <c r="I125" s="55"/>
    </row>
    <row r="126" spans="5:9" x14ac:dyDescent="0.3">
      <c r="E126" s="57"/>
      <c r="G126" s="53"/>
      <c r="H126" s="54"/>
      <c r="I126" s="55"/>
    </row>
    <row r="127" spans="5:9" x14ac:dyDescent="0.3">
      <c r="E127" s="57"/>
      <c r="G127" s="53"/>
      <c r="H127" s="54"/>
      <c r="I127" s="55"/>
    </row>
    <row r="128" spans="5:9" x14ac:dyDescent="0.3">
      <c r="E128" s="57"/>
      <c r="G128" s="53"/>
      <c r="H128" s="54"/>
      <c r="I128" s="55"/>
    </row>
    <row r="129" spans="5:9" x14ac:dyDescent="0.3">
      <c r="E129" s="57"/>
      <c r="G129" s="53"/>
      <c r="H129" s="54"/>
      <c r="I129" s="55"/>
    </row>
    <row r="130" spans="5:9" x14ac:dyDescent="0.3">
      <c r="E130" s="57"/>
      <c r="G130" s="53"/>
      <c r="H130" s="54"/>
      <c r="I130" s="55"/>
    </row>
    <row r="131" spans="5:9" x14ac:dyDescent="0.3">
      <c r="E131" s="57"/>
      <c r="G131" s="53"/>
      <c r="H131" s="54"/>
      <c r="I131" s="55"/>
    </row>
    <row r="132" spans="5:9" x14ac:dyDescent="0.3">
      <c r="E132" s="57"/>
      <c r="G132" s="53"/>
      <c r="H132" s="54"/>
      <c r="I132" s="55"/>
    </row>
    <row r="133" spans="5:9" x14ac:dyDescent="0.3">
      <c r="E133" s="57"/>
      <c r="G133" s="53"/>
      <c r="H133" s="54"/>
      <c r="I133" s="55"/>
    </row>
    <row r="134" spans="5:9" x14ac:dyDescent="0.3">
      <c r="E134" s="57"/>
      <c r="G134" s="53"/>
      <c r="H134" s="54"/>
      <c r="I134" s="55"/>
    </row>
    <row r="135" spans="5:9" x14ac:dyDescent="0.3">
      <c r="E135" s="57"/>
      <c r="G135" s="53"/>
      <c r="H135" s="54"/>
      <c r="I135" s="55"/>
    </row>
    <row r="136" spans="5:9" x14ac:dyDescent="0.3">
      <c r="E136" s="57"/>
      <c r="G136" s="53"/>
      <c r="H136" s="54"/>
      <c r="I136" s="55"/>
    </row>
    <row r="137" spans="5:9" x14ac:dyDescent="0.3">
      <c r="E137" s="57"/>
      <c r="G137" s="53"/>
      <c r="H137" s="54"/>
      <c r="I137" s="55"/>
    </row>
    <row r="138" spans="5:9" x14ac:dyDescent="0.3">
      <c r="E138" s="57"/>
      <c r="G138" s="53"/>
      <c r="H138" s="54"/>
      <c r="I138" s="55"/>
    </row>
    <row r="139" spans="5:9" x14ac:dyDescent="0.3">
      <c r="E139" s="57"/>
      <c r="G139" s="53"/>
      <c r="H139" s="54"/>
      <c r="I139" s="55"/>
    </row>
    <row r="140" spans="5:9" x14ac:dyDescent="0.3">
      <c r="E140" s="57"/>
      <c r="G140" s="53"/>
      <c r="H140" s="54"/>
      <c r="I140" s="55"/>
    </row>
    <row r="141" spans="5:9" x14ac:dyDescent="0.3">
      <c r="E141" s="57"/>
      <c r="G141" s="53"/>
      <c r="H141" s="54"/>
      <c r="I141" s="55"/>
    </row>
    <row r="142" spans="5:9" x14ac:dyDescent="0.3">
      <c r="E142" s="57"/>
      <c r="G142" s="53"/>
      <c r="H142" s="54"/>
      <c r="I142" s="55"/>
    </row>
    <row r="143" spans="5:9" x14ac:dyDescent="0.3">
      <c r="E143" s="57"/>
      <c r="G143" s="53"/>
      <c r="H143" s="54"/>
      <c r="I143" s="55"/>
    </row>
    <row r="144" spans="5:9" x14ac:dyDescent="0.3">
      <c r="E144" s="57"/>
      <c r="G144" s="53"/>
      <c r="H144" s="54"/>
      <c r="I144" s="55"/>
    </row>
    <row r="145" spans="5:9" x14ac:dyDescent="0.3">
      <c r="E145" s="57"/>
      <c r="G145" s="53"/>
      <c r="H145" s="54"/>
      <c r="I145" s="55"/>
    </row>
    <row r="146" spans="5:9" x14ac:dyDescent="0.3">
      <c r="E146" s="57"/>
      <c r="G146" s="53"/>
      <c r="H146" s="54"/>
      <c r="I146" s="55"/>
    </row>
    <row r="147" spans="5:9" x14ac:dyDescent="0.3">
      <c r="E147" s="57"/>
      <c r="G147" s="53"/>
      <c r="H147" s="54"/>
      <c r="I147" s="55"/>
    </row>
    <row r="148" spans="5:9" x14ac:dyDescent="0.3">
      <c r="E148" s="57"/>
      <c r="G148" s="53"/>
      <c r="H148" s="54"/>
      <c r="I148" s="55"/>
    </row>
    <row r="149" spans="5:9" x14ac:dyDescent="0.3">
      <c r="E149" s="57"/>
      <c r="G149" s="53"/>
      <c r="H149" s="54"/>
      <c r="I149" s="55"/>
    </row>
    <row r="150" spans="5:9" x14ac:dyDescent="0.3">
      <c r="E150" s="57"/>
      <c r="G150" s="53"/>
      <c r="H150" s="54"/>
      <c r="I150" s="55"/>
    </row>
    <row r="151" spans="5:9" x14ac:dyDescent="0.3">
      <c r="E151" s="57"/>
      <c r="G151" s="53"/>
      <c r="H151" s="54"/>
      <c r="I151" s="55"/>
    </row>
    <row r="152" spans="5:9" x14ac:dyDescent="0.3">
      <c r="E152" s="57"/>
      <c r="G152" s="53"/>
      <c r="H152" s="54"/>
      <c r="I152" s="55"/>
    </row>
    <row r="153" spans="5:9" x14ac:dyDescent="0.3">
      <c r="E153" s="57"/>
      <c r="G153" s="53"/>
      <c r="H153" s="54"/>
      <c r="I153" s="55"/>
    </row>
    <row r="154" spans="5:9" x14ac:dyDescent="0.3">
      <c r="E154" s="57"/>
      <c r="G154" s="53"/>
      <c r="H154" s="54"/>
      <c r="I154" s="55"/>
    </row>
    <row r="155" spans="5:9" x14ac:dyDescent="0.3">
      <c r="E155" s="57"/>
      <c r="G155" s="53"/>
      <c r="H155" s="54"/>
      <c r="I155" s="55"/>
    </row>
    <row r="156" spans="5:9" x14ac:dyDescent="0.3">
      <c r="E156" s="57"/>
      <c r="G156" s="53"/>
      <c r="H156" s="54"/>
      <c r="I156" s="55"/>
    </row>
    <row r="157" spans="5:9" x14ac:dyDescent="0.3">
      <c r="E157" s="57"/>
      <c r="G157" s="53"/>
      <c r="H157" s="54"/>
      <c r="I157" s="55"/>
    </row>
    <row r="158" spans="5:9" x14ac:dyDescent="0.3">
      <c r="E158" s="57"/>
      <c r="G158" s="53"/>
      <c r="H158" s="54"/>
      <c r="I158" s="55"/>
    </row>
    <row r="159" spans="5:9" x14ac:dyDescent="0.3">
      <c r="E159" s="57"/>
      <c r="G159" s="53"/>
      <c r="H159" s="54"/>
      <c r="I159" s="55"/>
    </row>
    <row r="160" spans="5:9" x14ac:dyDescent="0.3">
      <c r="E160" s="57"/>
      <c r="G160" s="53"/>
      <c r="H160" s="54"/>
      <c r="I160" s="55"/>
    </row>
    <row r="161" spans="5:9" x14ac:dyDescent="0.3">
      <c r="E161" s="57"/>
      <c r="G161" s="53"/>
      <c r="H161" s="54"/>
      <c r="I161" s="55"/>
    </row>
    <row r="162" spans="5:9" x14ac:dyDescent="0.3">
      <c r="E162" s="57"/>
      <c r="G162" s="53"/>
      <c r="H162" s="54"/>
      <c r="I162" s="55"/>
    </row>
    <row r="163" spans="5:9" x14ac:dyDescent="0.3">
      <c r="E163" s="57"/>
      <c r="G163" s="53"/>
      <c r="H163" s="54"/>
      <c r="I163" s="55"/>
    </row>
    <row r="164" spans="5:9" x14ac:dyDescent="0.3">
      <c r="E164" s="57"/>
      <c r="G164" s="53"/>
      <c r="H164" s="54"/>
      <c r="I164" s="55"/>
    </row>
    <row r="165" spans="5:9" x14ac:dyDescent="0.3">
      <c r="E165" s="57"/>
      <c r="G165" s="53"/>
      <c r="H165" s="54"/>
      <c r="I165" s="55"/>
    </row>
    <row r="166" spans="5:9" x14ac:dyDescent="0.3">
      <c r="E166" s="57"/>
      <c r="G166" s="53"/>
      <c r="H166" s="54"/>
      <c r="I166" s="55"/>
    </row>
    <row r="167" spans="5:9" x14ac:dyDescent="0.3">
      <c r="E167" s="57"/>
      <c r="G167" s="53"/>
      <c r="H167" s="54"/>
      <c r="I167" s="55"/>
    </row>
    <row r="168" spans="5:9" x14ac:dyDescent="0.3">
      <c r="E168" s="57"/>
      <c r="G168" s="53"/>
      <c r="H168" s="54"/>
      <c r="I168" s="55"/>
    </row>
    <row r="169" spans="5:9" x14ac:dyDescent="0.3">
      <c r="E169" s="57"/>
      <c r="G169" s="53"/>
      <c r="H169" s="54"/>
      <c r="I169" s="55"/>
    </row>
    <row r="170" spans="5:9" x14ac:dyDescent="0.3">
      <c r="E170" s="57"/>
      <c r="G170" s="53"/>
      <c r="H170" s="54"/>
      <c r="I170" s="55"/>
    </row>
    <row r="171" spans="5:9" x14ac:dyDescent="0.3">
      <c r="E171" s="57"/>
      <c r="G171" s="53"/>
      <c r="H171" s="54"/>
      <c r="I171" s="55"/>
    </row>
    <row r="172" spans="5:9" x14ac:dyDescent="0.3">
      <c r="E172" s="57"/>
      <c r="G172" s="53"/>
      <c r="H172" s="54"/>
      <c r="I172" s="55"/>
    </row>
    <row r="173" spans="5:9" x14ac:dyDescent="0.3">
      <c r="E173" s="57"/>
      <c r="G173" s="53"/>
      <c r="H173" s="54"/>
      <c r="I173" s="55"/>
    </row>
    <row r="174" spans="5:9" x14ac:dyDescent="0.3">
      <c r="E174" s="57"/>
      <c r="G174" s="53"/>
      <c r="H174" s="54"/>
      <c r="I174" s="55"/>
    </row>
    <row r="175" spans="5:9" x14ac:dyDescent="0.3">
      <c r="E175" s="57"/>
      <c r="G175" s="53"/>
      <c r="H175" s="54"/>
      <c r="I175" s="55"/>
    </row>
    <row r="176" spans="5:9" x14ac:dyDescent="0.3">
      <c r="E176" s="57"/>
      <c r="G176" s="53"/>
      <c r="H176" s="54"/>
      <c r="I176" s="55"/>
    </row>
    <row r="177" spans="5:9" x14ac:dyDescent="0.3">
      <c r="E177" s="57"/>
      <c r="G177" s="53"/>
      <c r="H177" s="54"/>
      <c r="I177" s="55"/>
    </row>
    <row r="178" spans="5:9" x14ac:dyDescent="0.3">
      <c r="E178" s="57"/>
      <c r="G178" s="53"/>
      <c r="H178" s="54"/>
      <c r="I178" s="55"/>
    </row>
    <row r="179" spans="5:9" x14ac:dyDescent="0.3">
      <c r="E179" s="57"/>
      <c r="G179" s="53"/>
      <c r="H179" s="54"/>
      <c r="I179" s="55"/>
    </row>
    <row r="180" spans="5:9" x14ac:dyDescent="0.3">
      <c r="E180" s="57"/>
      <c r="G180" s="53"/>
      <c r="H180" s="54"/>
      <c r="I180" s="55"/>
    </row>
    <row r="181" spans="5:9" x14ac:dyDescent="0.3">
      <c r="E181" s="57"/>
      <c r="G181" s="53"/>
      <c r="H181" s="54"/>
      <c r="I181" s="55"/>
    </row>
    <row r="182" spans="5:9" x14ac:dyDescent="0.3">
      <c r="E182" s="57"/>
      <c r="G182" s="53"/>
      <c r="H182" s="54"/>
      <c r="I182" s="55"/>
    </row>
    <row r="183" spans="5:9" x14ac:dyDescent="0.3">
      <c r="E183" s="57"/>
      <c r="G183" s="53"/>
      <c r="H183" s="54"/>
      <c r="I183" s="55"/>
    </row>
    <row r="184" spans="5:9" x14ac:dyDescent="0.3">
      <c r="E184" s="57"/>
      <c r="G184" s="53"/>
      <c r="H184" s="54"/>
      <c r="I184" s="55"/>
    </row>
    <row r="185" spans="5:9" x14ac:dyDescent="0.3">
      <c r="E185" s="57"/>
      <c r="G185" s="53"/>
      <c r="H185" s="54"/>
      <c r="I185" s="55"/>
    </row>
    <row r="186" spans="5:9" x14ac:dyDescent="0.3">
      <c r="E186" s="57"/>
      <c r="G186" s="53"/>
      <c r="H186" s="54"/>
      <c r="I186" s="55"/>
    </row>
    <row r="187" spans="5:9" x14ac:dyDescent="0.3">
      <c r="E187" s="57"/>
      <c r="G187" s="53"/>
      <c r="H187" s="54"/>
      <c r="I187" s="55"/>
    </row>
    <row r="188" spans="5:9" x14ac:dyDescent="0.3">
      <c r="E188" s="57"/>
      <c r="G188" s="53"/>
      <c r="H188" s="54"/>
      <c r="I188" s="55"/>
    </row>
    <row r="189" spans="5:9" x14ac:dyDescent="0.3">
      <c r="E189" s="57"/>
      <c r="G189" s="53"/>
      <c r="H189" s="54"/>
      <c r="I189" s="55"/>
    </row>
    <row r="190" spans="5:9" x14ac:dyDescent="0.3">
      <c r="E190" s="57"/>
      <c r="G190" s="53"/>
      <c r="H190" s="54"/>
      <c r="I190" s="55"/>
    </row>
    <row r="191" spans="5:9" x14ac:dyDescent="0.3">
      <c r="E191" s="57"/>
      <c r="G191" s="53"/>
      <c r="H191" s="54"/>
      <c r="I191" s="55"/>
    </row>
    <row r="192" spans="5:9" x14ac:dyDescent="0.3">
      <c r="E192" s="57"/>
      <c r="G192" s="53"/>
      <c r="H192" s="54"/>
      <c r="I192" s="55"/>
    </row>
    <row r="193" spans="5:9" x14ac:dyDescent="0.3">
      <c r="E193" s="57"/>
      <c r="G193" s="53"/>
      <c r="H193" s="54"/>
      <c r="I193" s="55"/>
    </row>
    <row r="194" spans="5:9" x14ac:dyDescent="0.3">
      <c r="E194" s="57"/>
      <c r="G194" s="53"/>
      <c r="H194" s="54"/>
      <c r="I194" s="55"/>
    </row>
    <row r="195" spans="5:9" x14ac:dyDescent="0.3">
      <c r="E195" s="57"/>
      <c r="G195" s="53"/>
      <c r="H195" s="54"/>
      <c r="I195" s="55"/>
    </row>
    <row r="196" spans="5:9" x14ac:dyDescent="0.3">
      <c r="E196" s="57"/>
      <c r="G196" s="53"/>
      <c r="H196" s="54"/>
      <c r="I196" s="55"/>
    </row>
    <row r="197" spans="5:9" x14ac:dyDescent="0.3">
      <c r="E197" s="57"/>
      <c r="G197" s="53"/>
      <c r="H197" s="54"/>
      <c r="I197" s="55"/>
    </row>
    <row r="198" spans="5:9" x14ac:dyDescent="0.3">
      <c r="E198" s="57"/>
      <c r="G198" s="53"/>
      <c r="H198" s="54"/>
      <c r="I198" s="55"/>
    </row>
    <row r="199" spans="5:9" x14ac:dyDescent="0.3">
      <c r="E199" s="57"/>
      <c r="G199" s="53"/>
      <c r="H199" s="54"/>
      <c r="I199" s="55"/>
    </row>
    <row r="200" spans="5:9" x14ac:dyDescent="0.3">
      <c r="E200" s="57"/>
      <c r="G200" s="53"/>
      <c r="H200" s="54"/>
      <c r="I200" s="55"/>
    </row>
    <row r="201" spans="5:9" x14ac:dyDescent="0.3">
      <c r="E201" s="57"/>
      <c r="G201" s="53"/>
      <c r="H201" s="54"/>
      <c r="I201" s="55"/>
    </row>
    <row r="202" spans="5:9" x14ac:dyDescent="0.3">
      <c r="E202" s="57"/>
      <c r="G202" s="53"/>
      <c r="H202" s="54"/>
      <c r="I202" s="55"/>
    </row>
    <row r="203" spans="5:9" x14ac:dyDescent="0.3">
      <c r="E203" s="57"/>
      <c r="G203" s="53"/>
      <c r="H203" s="54"/>
      <c r="I203" s="55"/>
    </row>
    <row r="204" spans="5:9" x14ac:dyDescent="0.3">
      <c r="E204" s="57"/>
      <c r="G204" s="53"/>
      <c r="H204" s="54"/>
      <c r="I204" s="55"/>
    </row>
    <row r="205" spans="5:9" x14ac:dyDescent="0.3">
      <c r="E205" s="57"/>
      <c r="G205" s="53"/>
      <c r="H205" s="54"/>
      <c r="I205" s="55"/>
    </row>
    <row r="206" spans="5:9" x14ac:dyDescent="0.3">
      <c r="E206" s="57"/>
      <c r="G206" s="53"/>
      <c r="H206" s="54"/>
      <c r="I206" s="55"/>
    </row>
    <row r="207" spans="5:9" x14ac:dyDescent="0.3">
      <c r="E207" s="57"/>
      <c r="G207" s="53"/>
      <c r="H207" s="54"/>
      <c r="I207" s="55"/>
    </row>
    <row r="208" spans="5:9" x14ac:dyDescent="0.3">
      <c r="E208" s="57"/>
      <c r="G208" s="53"/>
      <c r="H208" s="54"/>
      <c r="I208" s="55"/>
    </row>
    <row r="209" spans="5:9" x14ac:dyDescent="0.3">
      <c r="E209" s="57"/>
      <c r="G209" s="53"/>
      <c r="H209" s="54"/>
      <c r="I209" s="55"/>
    </row>
    <row r="210" spans="5:9" x14ac:dyDescent="0.3">
      <c r="E210" s="57"/>
      <c r="G210" s="53"/>
      <c r="H210" s="54"/>
      <c r="I210" s="55"/>
    </row>
    <row r="211" spans="5:9" x14ac:dyDescent="0.3">
      <c r="E211" s="57"/>
      <c r="G211" s="53"/>
      <c r="H211" s="54"/>
      <c r="I211" s="55"/>
    </row>
    <row r="212" spans="5:9" x14ac:dyDescent="0.3">
      <c r="E212" s="57"/>
      <c r="G212" s="53"/>
      <c r="H212" s="54"/>
      <c r="I212" s="55"/>
    </row>
    <row r="213" spans="5:9" x14ac:dyDescent="0.3">
      <c r="E213" s="57"/>
      <c r="G213" s="53"/>
      <c r="H213" s="54"/>
      <c r="I213" s="55"/>
    </row>
    <row r="214" spans="5:9" x14ac:dyDescent="0.3">
      <c r="E214" s="57"/>
      <c r="G214" s="53"/>
      <c r="H214" s="54"/>
      <c r="I214" s="55"/>
    </row>
    <row r="215" spans="5:9" x14ac:dyDescent="0.3">
      <c r="E215" s="57"/>
      <c r="G215" s="53"/>
      <c r="H215" s="54"/>
      <c r="I215" s="55"/>
    </row>
    <row r="216" spans="5:9" x14ac:dyDescent="0.3">
      <c r="E216" s="57"/>
      <c r="G216" s="53"/>
      <c r="H216" s="54"/>
      <c r="I216" s="55"/>
    </row>
    <row r="217" spans="5:9" x14ac:dyDescent="0.3">
      <c r="E217" s="57"/>
      <c r="G217" s="53"/>
      <c r="H217" s="54"/>
      <c r="I217" s="55"/>
    </row>
    <row r="218" spans="5:9" x14ac:dyDescent="0.3">
      <c r="E218" s="57"/>
      <c r="G218" s="53"/>
      <c r="H218" s="54"/>
      <c r="I218" s="55"/>
    </row>
    <row r="219" spans="5:9" x14ac:dyDescent="0.3">
      <c r="E219" s="57"/>
      <c r="G219" s="53"/>
      <c r="H219" s="54"/>
      <c r="I219" s="55"/>
    </row>
    <row r="220" spans="5:9" x14ac:dyDescent="0.3">
      <c r="E220" s="57"/>
      <c r="G220" s="53"/>
      <c r="H220" s="54"/>
      <c r="I220" s="55"/>
    </row>
    <row r="221" spans="5:9" x14ac:dyDescent="0.3">
      <c r="E221" s="57"/>
      <c r="G221" s="53"/>
      <c r="H221" s="54"/>
      <c r="I221" s="55"/>
    </row>
    <row r="222" spans="5:9" x14ac:dyDescent="0.3">
      <c r="E222" s="57"/>
      <c r="G222" s="53"/>
      <c r="H222" s="54"/>
      <c r="I222" s="55"/>
    </row>
    <row r="223" spans="5:9" x14ac:dyDescent="0.3">
      <c r="E223" s="57"/>
      <c r="G223" s="53"/>
      <c r="H223" s="54"/>
      <c r="I223" s="55"/>
    </row>
    <row r="224" spans="5:9" x14ac:dyDescent="0.3">
      <c r="E224" s="57"/>
      <c r="G224" s="53"/>
      <c r="H224" s="54"/>
      <c r="I224" s="55"/>
    </row>
    <row r="225" spans="5:9" x14ac:dyDescent="0.3">
      <c r="E225" s="57"/>
      <c r="G225" s="53"/>
      <c r="H225" s="54"/>
      <c r="I225" s="55"/>
    </row>
    <row r="226" spans="5:9" x14ac:dyDescent="0.3">
      <c r="E226" s="57"/>
      <c r="G226" s="53"/>
      <c r="H226" s="54"/>
      <c r="I226" s="55"/>
    </row>
    <row r="227" spans="5:9" x14ac:dyDescent="0.3">
      <c r="E227" s="57"/>
      <c r="G227" s="53"/>
      <c r="H227" s="54"/>
      <c r="I227" s="55"/>
    </row>
    <row r="228" spans="5:9" x14ac:dyDescent="0.3">
      <c r="E228" s="57"/>
      <c r="G228" s="53"/>
      <c r="H228" s="54"/>
      <c r="I228" s="55"/>
    </row>
    <row r="229" spans="5:9" x14ac:dyDescent="0.3">
      <c r="E229" s="57"/>
      <c r="G229" s="53"/>
      <c r="H229" s="54"/>
      <c r="I229" s="55"/>
    </row>
    <row r="230" spans="5:9" x14ac:dyDescent="0.3">
      <c r="E230" s="57"/>
      <c r="G230" s="53"/>
      <c r="H230" s="54"/>
      <c r="I230" s="55"/>
    </row>
    <row r="231" spans="5:9" x14ac:dyDescent="0.3">
      <c r="E231" s="57"/>
      <c r="G231" s="53"/>
      <c r="H231" s="54"/>
      <c r="I231" s="55"/>
    </row>
    <row r="232" spans="5:9" x14ac:dyDescent="0.3">
      <c r="E232" s="57"/>
      <c r="G232" s="53"/>
      <c r="H232" s="54"/>
      <c r="I232" s="55"/>
    </row>
    <row r="233" spans="5:9" x14ac:dyDescent="0.3">
      <c r="E233" s="57"/>
      <c r="G233" s="53"/>
      <c r="H233" s="54"/>
      <c r="I233" s="55"/>
    </row>
    <row r="234" spans="5:9" x14ac:dyDescent="0.3">
      <c r="E234" s="57"/>
      <c r="G234" s="53"/>
      <c r="H234" s="54"/>
      <c r="I234" s="55"/>
    </row>
    <row r="235" spans="5:9" x14ac:dyDescent="0.3">
      <c r="E235" s="57"/>
      <c r="G235" s="53"/>
      <c r="H235" s="54"/>
      <c r="I235" s="55"/>
    </row>
    <row r="236" spans="5:9" x14ac:dyDescent="0.3">
      <c r="E236" s="57"/>
      <c r="G236" s="53"/>
      <c r="H236" s="54"/>
      <c r="I236" s="55"/>
    </row>
    <row r="237" spans="5:9" x14ac:dyDescent="0.3">
      <c r="E237" s="57"/>
      <c r="G237" s="53"/>
      <c r="H237" s="54"/>
      <c r="I237" s="55"/>
    </row>
    <row r="238" spans="5:9" x14ac:dyDescent="0.3">
      <c r="E238" s="57"/>
      <c r="G238" s="53"/>
      <c r="H238" s="54"/>
      <c r="I238" s="55"/>
    </row>
    <row r="239" spans="5:9" x14ac:dyDescent="0.3">
      <c r="E239" s="57"/>
      <c r="G239" s="53"/>
      <c r="H239" s="54"/>
      <c r="I239" s="55"/>
    </row>
    <row r="240" spans="5:9" x14ac:dyDescent="0.3">
      <c r="E240" s="57"/>
      <c r="G240" s="53"/>
      <c r="H240" s="54"/>
      <c r="I240" s="55"/>
    </row>
    <row r="241" spans="5:9" x14ac:dyDescent="0.3">
      <c r="E241" s="57"/>
      <c r="G241" s="53"/>
      <c r="H241" s="54"/>
      <c r="I241" s="55"/>
    </row>
    <row r="242" spans="5:9" x14ac:dyDescent="0.3">
      <c r="E242" s="57"/>
      <c r="G242" s="53"/>
      <c r="H242" s="54"/>
      <c r="I242" s="55"/>
    </row>
    <row r="243" spans="5:9" x14ac:dyDescent="0.3">
      <c r="E243" s="57"/>
      <c r="G243" s="53"/>
      <c r="H243" s="54"/>
      <c r="I243" s="55"/>
    </row>
    <row r="244" spans="5:9" x14ac:dyDescent="0.3">
      <c r="E244" s="57"/>
      <c r="G244" s="53"/>
      <c r="H244" s="54"/>
      <c r="I244" s="55"/>
    </row>
    <row r="245" spans="5:9" x14ac:dyDescent="0.3">
      <c r="E245" s="57"/>
      <c r="G245" s="53"/>
      <c r="H245" s="54"/>
      <c r="I245" s="55"/>
    </row>
    <row r="246" spans="5:9" x14ac:dyDescent="0.3">
      <c r="E246" s="57"/>
      <c r="G246" s="53"/>
      <c r="H246" s="54"/>
      <c r="I246" s="55"/>
    </row>
    <row r="247" spans="5:9" x14ac:dyDescent="0.3">
      <c r="E247" s="57"/>
      <c r="G247" s="53"/>
      <c r="H247" s="54"/>
      <c r="I247" s="55"/>
    </row>
    <row r="248" spans="5:9" x14ac:dyDescent="0.3">
      <c r="E248" s="57"/>
      <c r="G248" s="53"/>
      <c r="H248" s="54"/>
      <c r="I248" s="55"/>
    </row>
    <row r="249" spans="5:9" x14ac:dyDescent="0.3">
      <c r="E249" s="57"/>
      <c r="G249" s="53"/>
      <c r="H249" s="54"/>
      <c r="I249" s="55"/>
    </row>
    <row r="250" spans="5:9" x14ac:dyDescent="0.3">
      <c r="E250" s="57"/>
      <c r="G250" s="53"/>
      <c r="H250" s="54"/>
      <c r="I250" s="55"/>
    </row>
    <row r="251" spans="5:9" x14ac:dyDescent="0.3">
      <c r="E251" s="57"/>
      <c r="G251" s="53"/>
      <c r="H251" s="54"/>
      <c r="I251" s="55"/>
    </row>
    <row r="252" spans="5:9" x14ac:dyDescent="0.3">
      <c r="E252" s="57"/>
      <c r="G252" s="53"/>
      <c r="H252" s="54"/>
      <c r="I252" s="55"/>
    </row>
    <row r="253" spans="5:9" x14ac:dyDescent="0.3">
      <c r="E253" s="57"/>
      <c r="G253" s="53"/>
      <c r="H253" s="54"/>
      <c r="I253" s="55"/>
    </row>
    <row r="254" spans="5:9" x14ac:dyDescent="0.3">
      <c r="E254" s="57"/>
      <c r="G254" s="53"/>
      <c r="H254" s="54"/>
      <c r="I254" s="55"/>
    </row>
    <row r="255" spans="5:9" x14ac:dyDescent="0.3">
      <c r="E255" s="57"/>
      <c r="G255" s="53"/>
      <c r="H255" s="54"/>
      <c r="I255" s="55"/>
    </row>
    <row r="256" spans="5:9" x14ac:dyDescent="0.3">
      <c r="E256" s="57"/>
      <c r="G256" s="53"/>
      <c r="H256" s="54"/>
      <c r="I256" s="55"/>
    </row>
    <row r="257" spans="5:9" x14ac:dyDescent="0.3">
      <c r="E257" s="57"/>
      <c r="G257" s="53"/>
      <c r="H257" s="54"/>
      <c r="I257" s="55"/>
    </row>
    <row r="258" spans="5:9" x14ac:dyDescent="0.3">
      <c r="E258" s="57"/>
      <c r="G258" s="53"/>
      <c r="H258" s="54"/>
      <c r="I258" s="55"/>
    </row>
    <row r="259" spans="5:9" x14ac:dyDescent="0.3">
      <c r="E259" s="57"/>
      <c r="G259" s="53"/>
      <c r="H259" s="54"/>
      <c r="I259" s="55"/>
    </row>
    <row r="260" spans="5:9" x14ac:dyDescent="0.3">
      <c r="E260" s="57"/>
      <c r="G260" s="53"/>
      <c r="H260" s="54"/>
      <c r="I260" s="55"/>
    </row>
    <row r="261" spans="5:9" x14ac:dyDescent="0.3">
      <c r="E261" s="57"/>
      <c r="G261" s="53"/>
      <c r="H261" s="54"/>
      <c r="I261" s="55"/>
    </row>
    <row r="262" spans="5:9" x14ac:dyDescent="0.3">
      <c r="E262" s="57"/>
      <c r="G262" s="53"/>
      <c r="H262" s="54"/>
      <c r="I262" s="55"/>
    </row>
    <row r="263" spans="5:9" x14ac:dyDescent="0.3">
      <c r="E263" s="57"/>
      <c r="G263" s="53"/>
      <c r="H263" s="54"/>
      <c r="I263" s="55"/>
    </row>
    <row r="264" spans="5:9" x14ac:dyDescent="0.3">
      <c r="E264" s="57"/>
      <c r="G264" s="53"/>
      <c r="H264" s="54"/>
      <c r="I264" s="55"/>
    </row>
    <row r="265" spans="5:9" x14ac:dyDescent="0.3">
      <c r="E265" s="57"/>
      <c r="G265" s="53"/>
      <c r="H265" s="54"/>
      <c r="I265" s="55"/>
    </row>
    <row r="266" spans="5:9" x14ac:dyDescent="0.3">
      <c r="E266" s="57"/>
      <c r="G266" s="53"/>
      <c r="H266" s="54"/>
      <c r="I266" s="55"/>
    </row>
    <row r="267" spans="5:9" x14ac:dyDescent="0.3">
      <c r="E267" s="57"/>
      <c r="G267" s="53"/>
      <c r="H267" s="54"/>
      <c r="I267" s="55"/>
    </row>
    <row r="268" spans="5:9" x14ac:dyDescent="0.3">
      <c r="E268" s="57"/>
      <c r="G268" s="53"/>
      <c r="H268" s="54"/>
      <c r="I268" s="55"/>
    </row>
    <row r="269" spans="5:9" x14ac:dyDescent="0.3">
      <c r="E269" s="57"/>
      <c r="G269" s="53"/>
      <c r="H269" s="54"/>
      <c r="I269" s="55"/>
    </row>
    <row r="270" spans="5:9" x14ac:dyDescent="0.3">
      <c r="E270" s="57"/>
      <c r="G270" s="53"/>
      <c r="H270" s="54"/>
      <c r="I270" s="55"/>
    </row>
    <row r="271" spans="5:9" x14ac:dyDescent="0.3">
      <c r="E271" s="57"/>
      <c r="G271" s="53"/>
      <c r="H271" s="54"/>
      <c r="I271" s="55"/>
    </row>
    <row r="272" spans="5:9" x14ac:dyDescent="0.3">
      <c r="E272" s="57"/>
      <c r="G272" s="53"/>
      <c r="H272" s="54"/>
      <c r="I272" s="55"/>
    </row>
    <row r="273" spans="5:9" x14ac:dyDescent="0.3">
      <c r="E273" s="57"/>
      <c r="G273" s="53"/>
      <c r="H273" s="54"/>
      <c r="I273" s="55"/>
    </row>
    <row r="274" spans="5:9" x14ac:dyDescent="0.3">
      <c r="E274" s="57"/>
      <c r="G274" s="53"/>
      <c r="H274" s="54"/>
      <c r="I274" s="55"/>
    </row>
    <row r="275" spans="5:9" x14ac:dyDescent="0.3">
      <c r="E275" s="57"/>
      <c r="G275" s="53"/>
      <c r="H275" s="54"/>
      <c r="I275" s="55"/>
    </row>
    <row r="276" spans="5:9" x14ac:dyDescent="0.3">
      <c r="E276" s="57"/>
      <c r="G276" s="53"/>
      <c r="H276" s="54"/>
      <c r="I276" s="55"/>
    </row>
    <row r="277" spans="5:9" x14ac:dyDescent="0.3">
      <c r="E277" s="57"/>
      <c r="G277" s="53"/>
      <c r="H277" s="54"/>
      <c r="I277" s="55"/>
    </row>
    <row r="278" spans="5:9" x14ac:dyDescent="0.3">
      <c r="E278" s="57"/>
      <c r="G278" s="53"/>
      <c r="H278" s="54"/>
      <c r="I278" s="55"/>
    </row>
    <row r="279" spans="5:9" x14ac:dyDescent="0.3">
      <c r="E279" s="57"/>
      <c r="G279" s="53"/>
      <c r="H279" s="54"/>
      <c r="I279" s="55"/>
    </row>
    <row r="280" spans="5:9" x14ac:dyDescent="0.3">
      <c r="E280" s="57"/>
      <c r="G280" s="53"/>
      <c r="H280" s="54"/>
      <c r="I280" s="55"/>
    </row>
    <row r="281" spans="5:9" x14ac:dyDescent="0.3">
      <c r="E281" s="57"/>
      <c r="G281" s="53"/>
      <c r="H281" s="54"/>
      <c r="I281" s="55"/>
    </row>
    <row r="282" spans="5:9" x14ac:dyDescent="0.3">
      <c r="E282" s="57"/>
      <c r="G282" s="53"/>
      <c r="H282" s="54"/>
      <c r="I282" s="55"/>
    </row>
    <row r="283" spans="5:9" x14ac:dyDescent="0.3">
      <c r="E283" s="57"/>
      <c r="G283" s="53"/>
      <c r="H283" s="54"/>
      <c r="I283" s="55"/>
    </row>
    <row r="284" spans="5:9" x14ac:dyDescent="0.3">
      <c r="E284" s="57"/>
      <c r="G284" s="53"/>
      <c r="H284" s="54"/>
      <c r="I284" s="55"/>
    </row>
    <row r="285" spans="5:9" x14ac:dyDescent="0.3">
      <c r="E285" s="57"/>
      <c r="G285" s="53"/>
      <c r="H285" s="54"/>
      <c r="I285" s="55"/>
    </row>
    <row r="286" spans="5:9" x14ac:dyDescent="0.3">
      <c r="E286" s="57"/>
      <c r="G286" s="53"/>
      <c r="H286" s="54"/>
      <c r="I286" s="55"/>
    </row>
    <row r="287" spans="5:9" x14ac:dyDescent="0.3">
      <c r="E287" s="57"/>
      <c r="G287" s="53"/>
      <c r="H287" s="54"/>
      <c r="I287" s="55"/>
    </row>
    <row r="288" spans="5:9" x14ac:dyDescent="0.3">
      <c r="E288" s="57"/>
      <c r="G288" s="53"/>
      <c r="H288" s="54"/>
      <c r="I288" s="55"/>
    </row>
    <row r="289" spans="5:9" x14ac:dyDescent="0.3">
      <c r="E289" s="57"/>
      <c r="G289" s="53"/>
      <c r="H289" s="54"/>
      <c r="I289" s="55"/>
    </row>
    <row r="290" spans="5:9" x14ac:dyDescent="0.3">
      <c r="E290" s="57"/>
      <c r="G290" s="53"/>
      <c r="H290" s="54"/>
      <c r="I290" s="55"/>
    </row>
    <row r="291" spans="5:9" x14ac:dyDescent="0.3">
      <c r="E291" s="57"/>
      <c r="G291" s="53"/>
      <c r="H291" s="54"/>
      <c r="I291" s="55"/>
    </row>
    <row r="292" spans="5:9" x14ac:dyDescent="0.3">
      <c r="E292" s="57"/>
      <c r="G292" s="53"/>
      <c r="H292" s="54"/>
      <c r="I292" s="55"/>
    </row>
    <row r="293" spans="5:9" x14ac:dyDescent="0.3">
      <c r="E293" s="57"/>
      <c r="G293" s="53"/>
      <c r="H293" s="54"/>
      <c r="I293" s="55"/>
    </row>
    <row r="294" spans="5:9" x14ac:dyDescent="0.3">
      <c r="E294" s="57"/>
      <c r="G294" s="53"/>
      <c r="H294" s="54"/>
      <c r="I294" s="55"/>
    </row>
    <row r="295" spans="5:9" x14ac:dyDescent="0.3">
      <c r="E295" s="57"/>
      <c r="G295" s="53"/>
      <c r="H295" s="54"/>
      <c r="I295" s="55"/>
    </row>
    <row r="296" spans="5:9" x14ac:dyDescent="0.3">
      <c r="E296" s="57"/>
      <c r="G296" s="53"/>
      <c r="H296" s="54"/>
      <c r="I296" s="55"/>
    </row>
    <row r="297" spans="5:9" x14ac:dyDescent="0.3">
      <c r="E297" s="57"/>
      <c r="G297" s="53"/>
      <c r="H297" s="54"/>
      <c r="I297" s="55"/>
    </row>
    <row r="298" spans="5:9" x14ac:dyDescent="0.3">
      <c r="E298" s="57"/>
      <c r="G298" s="53"/>
      <c r="H298" s="54"/>
      <c r="I298" s="55"/>
    </row>
    <row r="299" spans="5:9" x14ac:dyDescent="0.3">
      <c r="E299" s="57"/>
      <c r="G299" s="53"/>
      <c r="H299" s="54"/>
      <c r="I299" s="55"/>
    </row>
    <row r="300" spans="5:9" x14ac:dyDescent="0.3">
      <c r="E300" s="57"/>
      <c r="G300" s="53"/>
      <c r="H300" s="54"/>
      <c r="I300" s="55"/>
    </row>
    <row r="301" spans="5:9" x14ac:dyDescent="0.3">
      <c r="E301" s="57"/>
      <c r="G301" s="53"/>
      <c r="H301" s="54"/>
      <c r="I301" s="55"/>
    </row>
    <row r="302" spans="5:9" x14ac:dyDescent="0.3">
      <c r="E302" s="57"/>
      <c r="G302" s="53"/>
      <c r="H302" s="54"/>
      <c r="I302" s="55"/>
    </row>
    <row r="303" spans="5:9" x14ac:dyDescent="0.3">
      <c r="E303" s="57"/>
      <c r="G303" s="53"/>
      <c r="H303" s="54"/>
      <c r="I303" s="55"/>
    </row>
    <row r="304" spans="5:9" x14ac:dyDescent="0.3">
      <c r="E304" s="57"/>
      <c r="G304" s="53"/>
      <c r="H304" s="54"/>
      <c r="I304" s="55"/>
    </row>
    <row r="305" spans="5:9" x14ac:dyDescent="0.3">
      <c r="E305" s="57"/>
      <c r="G305" s="53"/>
      <c r="H305" s="54"/>
      <c r="I305" s="55"/>
    </row>
    <row r="306" spans="5:9" x14ac:dyDescent="0.3">
      <c r="E306" s="57"/>
      <c r="G306" s="53"/>
      <c r="H306" s="54"/>
      <c r="I306" s="55"/>
    </row>
    <row r="307" spans="5:9" x14ac:dyDescent="0.3">
      <c r="E307" s="57"/>
      <c r="G307" s="53"/>
      <c r="H307" s="54"/>
      <c r="I307" s="55"/>
    </row>
    <row r="308" spans="5:9" x14ac:dyDescent="0.3">
      <c r="E308" s="57"/>
      <c r="G308" s="53"/>
      <c r="H308" s="54"/>
      <c r="I308" s="55"/>
    </row>
    <row r="309" spans="5:9" x14ac:dyDescent="0.3">
      <c r="E309" s="57"/>
      <c r="G309" s="53"/>
      <c r="H309" s="54"/>
      <c r="I309" s="55"/>
    </row>
    <row r="310" spans="5:9" x14ac:dyDescent="0.3">
      <c r="E310" s="57"/>
      <c r="G310" s="53"/>
      <c r="H310" s="54"/>
      <c r="I310" s="55"/>
    </row>
    <row r="311" spans="5:9" x14ac:dyDescent="0.3">
      <c r="E311" s="57"/>
      <c r="G311" s="53"/>
      <c r="H311" s="54"/>
      <c r="I311" s="55"/>
    </row>
    <row r="312" spans="5:9" x14ac:dyDescent="0.3">
      <c r="E312" s="57"/>
      <c r="G312" s="53"/>
      <c r="H312" s="54"/>
      <c r="I312" s="55"/>
    </row>
    <row r="313" spans="5:9" x14ac:dyDescent="0.3">
      <c r="E313" s="57"/>
      <c r="G313" s="53"/>
      <c r="H313" s="54"/>
      <c r="I313" s="55"/>
    </row>
    <row r="314" spans="5:9" x14ac:dyDescent="0.3">
      <c r="E314" s="57"/>
      <c r="G314" s="53"/>
      <c r="H314" s="54"/>
      <c r="I314" s="55"/>
    </row>
    <row r="315" spans="5:9" x14ac:dyDescent="0.3">
      <c r="E315" s="57"/>
      <c r="G315" s="53"/>
      <c r="H315" s="54"/>
      <c r="I315" s="55"/>
    </row>
    <row r="316" spans="5:9" x14ac:dyDescent="0.3">
      <c r="E316" s="57"/>
      <c r="G316" s="53"/>
      <c r="H316" s="54"/>
      <c r="I316" s="55"/>
    </row>
    <row r="317" spans="5:9" x14ac:dyDescent="0.3">
      <c r="E317" s="57"/>
      <c r="G317" s="53"/>
      <c r="H317" s="54"/>
      <c r="I317" s="55"/>
    </row>
    <row r="318" spans="5:9" x14ac:dyDescent="0.3">
      <c r="E318" s="57"/>
      <c r="G318" s="53"/>
      <c r="H318" s="54"/>
      <c r="I318" s="55"/>
    </row>
    <row r="319" spans="5:9" x14ac:dyDescent="0.3">
      <c r="E319" s="57"/>
      <c r="G319" s="53"/>
      <c r="H319" s="54"/>
      <c r="I319" s="55"/>
    </row>
    <row r="320" spans="5:9" x14ac:dyDescent="0.3">
      <c r="E320" s="57"/>
      <c r="G320" s="53"/>
      <c r="H320" s="54"/>
      <c r="I320" s="55"/>
    </row>
    <row r="321" spans="5:9" x14ac:dyDescent="0.3">
      <c r="E321" s="57"/>
      <c r="G321" s="53"/>
      <c r="H321" s="54"/>
      <c r="I321" s="55"/>
    </row>
    <row r="322" spans="5:9" x14ac:dyDescent="0.3">
      <c r="E322" s="57"/>
      <c r="G322" s="53"/>
      <c r="H322" s="54"/>
      <c r="I322" s="55"/>
    </row>
    <row r="323" spans="5:9" x14ac:dyDescent="0.3">
      <c r="E323" s="57"/>
      <c r="G323" s="53"/>
      <c r="H323" s="54"/>
      <c r="I323" s="55"/>
    </row>
    <row r="324" spans="5:9" x14ac:dyDescent="0.3">
      <c r="E324" s="57"/>
      <c r="G324" s="53"/>
      <c r="H324" s="54"/>
      <c r="I324" s="55"/>
    </row>
    <row r="325" spans="5:9" x14ac:dyDescent="0.3">
      <c r="E325" s="57"/>
      <c r="G325" s="53"/>
      <c r="H325" s="54"/>
      <c r="I325" s="55"/>
    </row>
    <row r="326" spans="5:9" x14ac:dyDescent="0.3">
      <c r="E326" s="57"/>
      <c r="G326" s="53"/>
      <c r="H326" s="54"/>
      <c r="I326" s="55"/>
    </row>
    <row r="327" spans="5:9" x14ac:dyDescent="0.3">
      <c r="E327" s="57"/>
      <c r="G327" s="53"/>
      <c r="H327" s="54"/>
      <c r="I327" s="55"/>
    </row>
    <row r="328" spans="5:9" x14ac:dyDescent="0.3">
      <c r="E328" s="57"/>
      <c r="G328" s="53"/>
      <c r="H328" s="54"/>
      <c r="I328" s="55"/>
    </row>
    <row r="329" spans="5:9" x14ac:dyDescent="0.3">
      <c r="E329" s="57"/>
      <c r="G329" s="53"/>
      <c r="H329" s="54"/>
      <c r="I329" s="55"/>
    </row>
    <row r="330" spans="5:9" x14ac:dyDescent="0.3">
      <c r="E330" s="57"/>
      <c r="G330" s="53"/>
      <c r="H330" s="54"/>
      <c r="I330" s="55"/>
    </row>
    <row r="331" spans="5:9" x14ac:dyDescent="0.3">
      <c r="E331" s="57"/>
      <c r="G331" s="53"/>
      <c r="H331" s="54"/>
      <c r="I331" s="55"/>
    </row>
    <row r="332" spans="5:9" x14ac:dyDescent="0.3">
      <c r="E332" s="57"/>
      <c r="G332" s="53"/>
      <c r="H332" s="54"/>
      <c r="I332" s="55"/>
    </row>
    <row r="333" spans="5:9" x14ac:dyDescent="0.3">
      <c r="E333" s="57"/>
      <c r="G333" s="53"/>
      <c r="H333" s="54"/>
      <c r="I333" s="55"/>
    </row>
    <row r="334" spans="5:9" x14ac:dyDescent="0.3">
      <c r="E334" s="57"/>
      <c r="G334" s="53"/>
      <c r="H334" s="54"/>
      <c r="I334" s="55"/>
    </row>
    <row r="335" spans="5:9" x14ac:dyDescent="0.3">
      <c r="E335" s="57"/>
      <c r="G335" s="53"/>
      <c r="H335" s="54"/>
      <c r="I335" s="55"/>
    </row>
    <row r="336" spans="5:9" x14ac:dyDescent="0.3">
      <c r="E336" s="57"/>
      <c r="G336" s="53"/>
      <c r="H336" s="54"/>
      <c r="I336" s="55"/>
    </row>
    <row r="337" spans="5:9" x14ac:dyDescent="0.3">
      <c r="E337" s="57"/>
      <c r="G337" s="53"/>
      <c r="H337" s="54"/>
      <c r="I337" s="55"/>
    </row>
    <row r="338" spans="5:9" x14ac:dyDescent="0.3">
      <c r="E338" s="57"/>
      <c r="G338" s="53"/>
      <c r="H338" s="54"/>
      <c r="I338" s="55"/>
    </row>
    <row r="339" spans="5:9" x14ac:dyDescent="0.3">
      <c r="E339" s="57"/>
      <c r="G339" s="53"/>
      <c r="H339" s="54"/>
      <c r="I339" s="55"/>
    </row>
    <row r="340" spans="5:9" x14ac:dyDescent="0.3">
      <c r="E340" s="57"/>
      <c r="G340" s="53"/>
      <c r="H340" s="54"/>
      <c r="I340" s="55"/>
    </row>
    <row r="341" spans="5:9" x14ac:dyDescent="0.3">
      <c r="E341" s="57"/>
      <c r="G341" s="53"/>
      <c r="H341" s="54"/>
      <c r="I341" s="55"/>
    </row>
    <row r="342" spans="5:9" x14ac:dyDescent="0.3">
      <c r="E342" s="57"/>
      <c r="G342" s="53"/>
      <c r="H342" s="54"/>
      <c r="I342" s="55"/>
    </row>
    <row r="343" spans="5:9" x14ac:dyDescent="0.3">
      <c r="E343" s="57"/>
      <c r="G343" s="53"/>
      <c r="H343" s="54"/>
      <c r="I343" s="55"/>
    </row>
    <row r="344" spans="5:9" x14ac:dyDescent="0.3">
      <c r="E344" s="57"/>
      <c r="G344" s="53"/>
      <c r="H344" s="54"/>
      <c r="I344" s="55"/>
    </row>
    <row r="345" spans="5:9" x14ac:dyDescent="0.3">
      <c r="E345" s="57"/>
      <c r="G345" s="53"/>
      <c r="H345" s="54"/>
      <c r="I345" s="55"/>
    </row>
    <row r="346" spans="5:9" x14ac:dyDescent="0.3">
      <c r="E346" s="57"/>
      <c r="G346" s="53"/>
      <c r="H346" s="54"/>
      <c r="I346" s="55"/>
    </row>
    <row r="347" spans="5:9" x14ac:dyDescent="0.3">
      <c r="E347" s="57"/>
      <c r="G347" s="53"/>
      <c r="H347" s="54"/>
      <c r="I347" s="55"/>
    </row>
    <row r="348" spans="5:9" x14ac:dyDescent="0.3">
      <c r="E348" s="57"/>
      <c r="G348" s="53"/>
      <c r="H348" s="54"/>
      <c r="I348" s="55"/>
    </row>
    <row r="349" spans="5:9" x14ac:dyDescent="0.3">
      <c r="E349" s="57"/>
      <c r="G349" s="53"/>
      <c r="H349" s="54"/>
      <c r="I349" s="55"/>
    </row>
    <row r="350" spans="5:9" x14ac:dyDescent="0.3">
      <c r="E350" s="57"/>
      <c r="G350" s="53"/>
      <c r="H350" s="54"/>
      <c r="I350" s="55"/>
    </row>
    <row r="351" spans="5:9" x14ac:dyDescent="0.3">
      <c r="E351" s="57"/>
      <c r="G351" s="53"/>
      <c r="H351" s="54"/>
      <c r="I351" s="55"/>
    </row>
    <row r="352" spans="5:9" x14ac:dyDescent="0.3">
      <c r="E352" s="57"/>
      <c r="G352" s="53"/>
      <c r="H352" s="54"/>
      <c r="I352" s="55"/>
    </row>
    <row r="353" spans="5:9" x14ac:dyDescent="0.3">
      <c r="E353" s="57"/>
      <c r="G353" s="53"/>
      <c r="H353" s="54"/>
      <c r="I353" s="55"/>
    </row>
    <row r="354" spans="5:9" x14ac:dyDescent="0.3">
      <c r="E354" s="57"/>
      <c r="G354" s="53"/>
      <c r="H354" s="54"/>
      <c r="I354" s="55"/>
    </row>
    <row r="355" spans="5:9" x14ac:dyDescent="0.3">
      <c r="E355" s="57"/>
      <c r="G355" s="53"/>
      <c r="H355" s="54"/>
      <c r="I355" s="55"/>
    </row>
    <row r="356" spans="5:9" x14ac:dyDescent="0.3">
      <c r="E356" s="57"/>
      <c r="G356" s="53"/>
      <c r="H356" s="54"/>
      <c r="I356" s="55"/>
    </row>
    <row r="357" spans="5:9" x14ac:dyDescent="0.3">
      <c r="E357" s="57"/>
      <c r="G357" s="53"/>
      <c r="H357" s="54"/>
      <c r="I357" s="55"/>
    </row>
    <row r="358" spans="5:9" x14ac:dyDescent="0.3">
      <c r="E358" s="57"/>
      <c r="G358" s="53"/>
      <c r="H358" s="54"/>
      <c r="I358" s="55"/>
    </row>
    <row r="359" spans="5:9" x14ac:dyDescent="0.3">
      <c r="E359" s="57"/>
      <c r="G359" s="53"/>
      <c r="H359" s="54"/>
      <c r="I359" s="55"/>
    </row>
    <row r="360" spans="5:9" x14ac:dyDescent="0.3">
      <c r="E360" s="57"/>
      <c r="G360" s="53"/>
      <c r="H360" s="54"/>
      <c r="I360" s="55"/>
    </row>
    <row r="361" spans="5:9" x14ac:dyDescent="0.3">
      <c r="E361" s="57"/>
      <c r="G361" s="53"/>
      <c r="H361" s="54"/>
      <c r="I361" s="55"/>
    </row>
    <row r="362" spans="5:9" x14ac:dyDescent="0.3">
      <c r="E362" s="57"/>
      <c r="G362" s="53"/>
      <c r="H362" s="54"/>
      <c r="I362" s="55"/>
    </row>
    <row r="363" spans="5:9" x14ac:dyDescent="0.3">
      <c r="E363" s="57"/>
      <c r="G363" s="53"/>
      <c r="H363" s="54"/>
      <c r="I363" s="55"/>
    </row>
    <row r="364" spans="5:9" x14ac:dyDescent="0.3">
      <c r="E364" s="57"/>
      <c r="G364" s="53"/>
      <c r="H364" s="54"/>
      <c r="I364" s="55"/>
    </row>
    <row r="365" spans="5:9" x14ac:dyDescent="0.3">
      <c r="E365" s="57"/>
      <c r="G365" s="53"/>
      <c r="H365" s="54"/>
      <c r="I365" s="55"/>
    </row>
    <row r="366" spans="5:9" x14ac:dyDescent="0.3">
      <c r="E366" s="57"/>
      <c r="G366" s="53"/>
      <c r="H366" s="54"/>
      <c r="I366" s="55"/>
    </row>
    <row r="367" spans="5:9" x14ac:dyDescent="0.3">
      <c r="E367" s="57"/>
      <c r="G367" s="53"/>
      <c r="H367" s="54"/>
      <c r="I367" s="55"/>
    </row>
    <row r="368" spans="5:9" x14ac:dyDescent="0.3">
      <c r="E368" s="57"/>
      <c r="G368" s="53"/>
      <c r="H368" s="54"/>
      <c r="I368" s="55"/>
    </row>
    <row r="369" spans="5:9" x14ac:dyDescent="0.3">
      <c r="E369" s="57"/>
      <c r="G369" s="53"/>
      <c r="H369" s="54"/>
      <c r="I369" s="55"/>
    </row>
    <row r="370" spans="5:9" x14ac:dyDescent="0.3">
      <c r="E370" s="57"/>
      <c r="G370" s="53"/>
      <c r="H370" s="54"/>
      <c r="I370" s="55"/>
    </row>
    <row r="371" spans="5:9" x14ac:dyDescent="0.3">
      <c r="E371" s="57"/>
      <c r="G371" s="53"/>
      <c r="H371" s="54"/>
      <c r="I371" s="55"/>
    </row>
    <row r="372" spans="5:9" x14ac:dyDescent="0.3">
      <c r="E372" s="57"/>
      <c r="G372" s="53"/>
      <c r="H372" s="54"/>
      <c r="I372" s="55"/>
    </row>
    <row r="373" spans="5:9" x14ac:dyDescent="0.3">
      <c r="E373" s="57"/>
      <c r="G373" s="53"/>
      <c r="H373" s="54"/>
      <c r="I373" s="55"/>
    </row>
    <row r="374" spans="5:9" x14ac:dyDescent="0.3">
      <c r="E374" s="57"/>
      <c r="G374" s="53"/>
      <c r="H374" s="54"/>
      <c r="I374" s="55"/>
    </row>
    <row r="375" spans="5:9" x14ac:dyDescent="0.3">
      <c r="E375" s="57"/>
      <c r="G375" s="53"/>
      <c r="H375" s="54"/>
      <c r="I375" s="55"/>
    </row>
    <row r="376" spans="5:9" x14ac:dyDescent="0.3">
      <c r="E376" s="57"/>
      <c r="G376" s="53"/>
      <c r="H376" s="54"/>
      <c r="I376" s="55"/>
    </row>
    <row r="377" spans="5:9" x14ac:dyDescent="0.3">
      <c r="E377" s="57"/>
      <c r="G377" s="53"/>
      <c r="H377" s="54"/>
      <c r="I377" s="55"/>
    </row>
    <row r="378" spans="5:9" x14ac:dyDescent="0.3">
      <c r="E378" s="57"/>
      <c r="G378" s="53"/>
      <c r="H378" s="54"/>
      <c r="I378" s="55"/>
    </row>
    <row r="379" spans="5:9" x14ac:dyDescent="0.3">
      <c r="E379" s="57"/>
      <c r="G379" s="53"/>
      <c r="H379" s="54"/>
      <c r="I379" s="55"/>
    </row>
    <row r="380" spans="5:9" x14ac:dyDescent="0.3">
      <c r="E380" s="57"/>
      <c r="G380" s="53"/>
      <c r="H380" s="54"/>
      <c r="I380" s="55"/>
    </row>
    <row r="381" spans="5:9" x14ac:dyDescent="0.3">
      <c r="E381" s="57"/>
      <c r="G381" s="53"/>
      <c r="H381" s="54"/>
      <c r="I381" s="55"/>
    </row>
    <row r="382" spans="5:9" x14ac:dyDescent="0.3">
      <c r="E382" s="57"/>
      <c r="G382" s="53"/>
      <c r="H382" s="54"/>
      <c r="I382" s="55"/>
    </row>
    <row r="383" spans="5:9" x14ac:dyDescent="0.3">
      <c r="E383" s="57"/>
      <c r="G383" s="53"/>
      <c r="H383" s="54"/>
      <c r="I383" s="55"/>
    </row>
    <row r="384" spans="5:9" x14ac:dyDescent="0.3">
      <c r="E384" s="57"/>
      <c r="G384" s="53"/>
      <c r="H384" s="54"/>
      <c r="I384" s="55"/>
    </row>
    <row r="385" spans="5:9" x14ac:dyDescent="0.3">
      <c r="E385" s="57"/>
      <c r="G385" s="53"/>
      <c r="H385" s="54"/>
      <c r="I385" s="55"/>
    </row>
    <row r="386" spans="5:9" x14ac:dyDescent="0.3">
      <c r="E386" s="57"/>
      <c r="G386" s="53"/>
      <c r="H386" s="54"/>
      <c r="I386" s="55"/>
    </row>
    <row r="387" spans="5:9" x14ac:dyDescent="0.3">
      <c r="E387" s="57"/>
      <c r="G387" s="53"/>
      <c r="H387" s="54"/>
      <c r="I387" s="55"/>
    </row>
    <row r="388" spans="5:9" x14ac:dyDescent="0.3">
      <c r="E388" s="57"/>
      <c r="G388" s="53"/>
      <c r="H388" s="54"/>
      <c r="I388" s="55"/>
    </row>
    <row r="389" spans="5:9" x14ac:dyDescent="0.3">
      <c r="E389" s="57"/>
      <c r="G389" s="53"/>
      <c r="H389" s="54"/>
      <c r="I389" s="55"/>
    </row>
    <row r="390" spans="5:9" x14ac:dyDescent="0.3">
      <c r="E390" s="57"/>
      <c r="G390" s="53"/>
      <c r="H390" s="54"/>
      <c r="I390" s="55"/>
    </row>
    <row r="391" spans="5:9" x14ac:dyDescent="0.3">
      <c r="E391" s="57"/>
      <c r="G391" s="53"/>
      <c r="H391" s="54"/>
      <c r="I391" s="55"/>
    </row>
    <row r="392" spans="5:9" x14ac:dyDescent="0.3">
      <c r="E392" s="57"/>
      <c r="G392" s="53"/>
      <c r="H392" s="54"/>
      <c r="I392" s="55"/>
    </row>
    <row r="393" spans="5:9" x14ac:dyDescent="0.3">
      <c r="E393" s="57"/>
      <c r="G393" s="53"/>
      <c r="H393" s="54"/>
      <c r="I393" s="55"/>
    </row>
    <row r="394" spans="5:9" x14ac:dyDescent="0.3">
      <c r="E394" s="57"/>
      <c r="G394" s="53"/>
      <c r="H394" s="54"/>
      <c r="I394" s="55"/>
    </row>
    <row r="395" spans="5:9" x14ac:dyDescent="0.3">
      <c r="E395" s="57"/>
      <c r="G395" s="53"/>
      <c r="H395" s="54"/>
      <c r="I395" s="55"/>
    </row>
    <row r="396" spans="5:9" x14ac:dyDescent="0.3">
      <c r="E396" s="57"/>
      <c r="G396" s="53"/>
      <c r="H396" s="54"/>
      <c r="I396" s="55"/>
    </row>
    <row r="397" spans="5:9" x14ac:dyDescent="0.3">
      <c r="E397" s="57"/>
      <c r="G397" s="53"/>
      <c r="H397" s="54"/>
      <c r="I397" s="55"/>
    </row>
    <row r="398" spans="5:9" x14ac:dyDescent="0.3">
      <c r="E398" s="57"/>
      <c r="G398" s="53"/>
      <c r="H398" s="54"/>
      <c r="I398" s="55"/>
    </row>
    <row r="399" spans="5:9" x14ac:dyDescent="0.3">
      <c r="E399" s="57"/>
      <c r="G399" s="53"/>
      <c r="H399" s="54"/>
      <c r="I399" s="55"/>
    </row>
    <row r="400" spans="5:9" x14ac:dyDescent="0.3">
      <c r="E400" s="57"/>
      <c r="G400" s="53"/>
      <c r="H400" s="54"/>
      <c r="I400" s="55"/>
    </row>
    <row r="401" spans="5:9" x14ac:dyDescent="0.3">
      <c r="E401" s="57"/>
      <c r="G401" s="53"/>
      <c r="H401" s="54"/>
      <c r="I401" s="55"/>
    </row>
    <row r="402" spans="5:9" x14ac:dyDescent="0.3">
      <c r="E402" s="57"/>
      <c r="G402" s="53"/>
      <c r="H402" s="54"/>
      <c r="I402" s="55"/>
    </row>
    <row r="403" spans="5:9" x14ac:dyDescent="0.3">
      <c r="E403" s="57"/>
      <c r="G403" s="53"/>
      <c r="H403" s="54"/>
      <c r="I403" s="55"/>
    </row>
    <row r="404" spans="5:9" x14ac:dyDescent="0.3">
      <c r="E404" s="57"/>
      <c r="G404" s="53"/>
      <c r="H404" s="54"/>
      <c r="I404" s="55"/>
    </row>
    <row r="405" spans="5:9" x14ac:dyDescent="0.3">
      <c r="E405" s="57"/>
      <c r="G405" s="53"/>
      <c r="H405" s="54"/>
      <c r="I405" s="55"/>
    </row>
    <row r="406" spans="5:9" x14ac:dyDescent="0.3">
      <c r="E406" s="57"/>
      <c r="G406" s="53"/>
      <c r="H406" s="54"/>
      <c r="I406" s="55"/>
    </row>
    <row r="407" spans="5:9" x14ac:dyDescent="0.3">
      <c r="E407" s="57"/>
      <c r="G407" s="53"/>
      <c r="H407" s="54"/>
      <c r="I407" s="55"/>
    </row>
    <row r="408" spans="5:9" x14ac:dyDescent="0.3">
      <c r="E408" s="57"/>
      <c r="G408" s="53"/>
      <c r="H408" s="54"/>
      <c r="I408" s="55"/>
    </row>
    <row r="409" spans="5:9" x14ac:dyDescent="0.3">
      <c r="E409" s="57"/>
      <c r="G409" s="53"/>
      <c r="H409" s="54"/>
      <c r="I409" s="55"/>
    </row>
    <row r="410" spans="5:9" x14ac:dyDescent="0.3">
      <c r="E410" s="57"/>
      <c r="G410" s="53"/>
      <c r="H410" s="54"/>
      <c r="I410" s="55"/>
    </row>
    <row r="411" spans="5:9" x14ac:dyDescent="0.3">
      <c r="E411" s="57"/>
      <c r="G411" s="53"/>
      <c r="H411" s="54"/>
      <c r="I411" s="55"/>
    </row>
    <row r="412" spans="5:9" x14ac:dyDescent="0.3">
      <c r="E412" s="57"/>
      <c r="G412" s="53"/>
      <c r="H412" s="54"/>
      <c r="I412" s="55"/>
    </row>
    <row r="413" spans="5:9" x14ac:dyDescent="0.3">
      <c r="E413" s="57"/>
      <c r="G413" s="53"/>
      <c r="H413" s="54"/>
      <c r="I413" s="55"/>
    </row>
    <row r="414" spans="5:9" x14ac:dyDescent="0.3">
      <c r="E414" s="57"/>
      <c r="G414" s="53"/>
      <c r="H414" s="54"/>
      <c r="I414" s="55"/>
    </row>
    <row r="415" spans="5:9" x14ac:dyDescent="0.3">
      <c r="E415" s="57"/>
      <c r="G415" s="53"/>
      <c r="H415" s="54"/>
      <c r="I415" s="55"/>
    </row>
    <row r="416" spans="5:9" x14ac:dyDescent="0.3">
      <c r="E416" s="57"/>
      <c r="G416" s="53"/>
      <c r="H416" s="54"/>
      <c r="I416" s="55"/>
    </row>
    <row r="417" spans="5:9" x14ac:dyDescent="0.3">
      <c r="E417" s="57"/>
      <c r="G417" s="53"/>
      <c r="H417" s="54"/>
      <c r="I417" s="55"/>
    </row>
    <row r="418" spans="5:9" x14ac:dyDescent="0.3">
      <c r="E418" s="57"/>
      <c r="G418" s="53"/>
      <c r="H418" s="54"/>
      <c r="I418" s="55"/>
    </row>
    <row r="419" spans="5:9" x14ac:dyDescent="0.3">
      <c r="E419" s="57"/>
      <c r="G419" s="53"/>
      <c r="H419" s="54"/>
      <c r="I419" s="55"/>
    </row>
    <row r="420" spans="5:9" x14ac:dyDescent="0.3">
      <c r="E420" s="57"/>
      <c r="G420" s="53"/>
      <c r="H420" s="54"/>
      <c r="I420" s="55"/>
    </row>
    <row r="421" spans="5:9" x14ac:dyDescent="0.3">
      <c r="E421" s="57"/>
      <c r="G421" s="53"/>
      <c r="H421" s="54"/>
      <c r="I421" s="55"/>
    </row>
    <row r="422" spans="5:9" x14ac:dyDescent="0.3">
      <c r="E422" s="57"/>
      <c r="G422" s="53"/>
      <c r="H422" s="54"/>
      <c r="I422" s="55"/>
    </row>
    <row r="423" spans="5:9" x14ac:dyDescent="0.3">
      <c r="E423" s="57"/>
      <c r="G423" s="53"/>
      <c r="H423" s="54"/>
      <c r="I423" s="55"/>
    </row>
    <row r="424" spans="5:9" x14ac:dyDescent="0.3">
      <c r="E424" s="57"/>
      <c r="G424" s="53"/>
      <c r="H424" s="54"/>
      <c r="I424" s="55"/>
    </row>
    <row r="425" spans="5:9" x14ac:dyDescent="0.3">
      <c r="E425" s="57"/>
      <c r="G425" s="53"/>
      <c r="H425" s="54"/>
      <c r="I425" s="55"/>
    </row>
    <row r="426" spans="5:9" x14ac:dyDescent="0.3">
      <c r="E426" s="57"/>
      <c r="G426" s="53"/>
      <c r="H426" s="54"/>
      <c r="I426" s="55"/>
    </row>
    <row r="427" spans="5:9" x14ac:dyDescent="0.3">
      <c r="E427" s="57"/>
      <c r="G427" s="53"/>
      <c r="H427" s="54"/>
      <c r="I427" s="55"/>
    </row>
    <row r="428" spans="5:9" x14ac:dyDescent="0.3">
      <c r="E428" s="57"/>
      <c r="G428" s="53"/>
      <c r="H428" s="54"/>
      <c r="I428" s="55"/>
    </row>
    <row r="429" spans="5:9" x14ac:dyDescent="0.3">
      <c r="E429" s="57"/>
      <c r="G429" s="53"/>
      <c r="H429" s="54"/>
      <c r="I429" s="55"/>
    </row>
    <row r="430" spans="5:9" x14ac:dyDescent="0.3">
      <c r="E430" s="57"/>
      <c r="G430" s="53"/>
      <c r="H430" s="54"/>
      <c r="I430" s="55"/>
    </row>
    <row r="431" spans="5:9" x14ac:dyDescent="0.3">
      <c r="E431" s="57"/>
      <c r="G431" s="53"/>
      <c r="H431" s="54"/>
      <c r="I431" s="55"/>
    </row>
    <row r="432" spans="5:9" x14ac:dyDescent="0.3">
      <c r="E432" s="57"/>
      <c r="G432" s="53"/>
      <c r="H432" s="54"/>
      <c r="I432" s="55"/>
    </row>
    <row r="433" spans="5:9" x14ac:dyDescent="0.3">
      <c r="E433" s="57"/>
      <c r="G433" s="53"/>
      <c r="H433" s="54"/>
      <c r="I433" s="55"/>
    </row>
    <row r="434" spans="5:9" x14ac:dyDescent="0.3">
      <c r="E434" s="57"/>
      <c r="G434" s="53"/>
      <c r="H434" s="54"/>
      <c r="I434" s="55"/>
    </row>
    <row r="435" spans="5:9" x14ac:dyDescent="0.3">
      <c r="E435" s="57"/>
      <c r="G435" s="53"/>
      <c r="H435" s="54"/>
      <c r="I435" s="55"/>
    </row>
    <row r="436" spans="5:9" x14ac:dyDescent="0.3">
      <c r="E436" s="57"/>
      <c r="G436" s="53"/>
      <c r="H436" s="54"/>
      <c r="I436" s="55"/>
    </row>
    <row r="437" spans="5:9" x14ac:dyDescent="0.3">
      <c r="E437" s="57"/>
      <c r="G437" s="53"/>
      <c r="H437" s="54"/>
      <c r="I437" s="55"/>
    </row>
    <row r="438" spans="5:9" x14ac:dyDescent="0.3">
      <c r="E438" s="57"/>
      <c r="G438" s="53"/>
      <c r="H438" s="54"/>
      <c r="I438" s="55"/>
    </row>
    <row r="439" spans="5:9" x14ac:dyDescent="0.3">
      <c r="E439" s="57"/>
      <c r="G439" s="53"/>
      <c r="H439" s="54"/>
      <c r="I439" s="55"/>
    </row>
    <row r="440" spans="5:9" x14ac:dyDescent="0.3">
      <c r="E440" s="57"/>
      <c r="G440" s="53"/>
      <c r="H440" s="54"/>
      <c r="I440" s="55"/>
    </row>
    <row r="441" spans="5:9" x14ac:dyDescent="0.3">
      <c r="E441" s="57"/>
      <c r="G441" s="53"/>
      <c r="H441" s="54"/>
      <c r="I441" s="55"/>
    </row>
    <row r="442" spans="5:9" x14ac:dyDescent="0.3">
      <c r="E442" s="57"/>
      <c r="G442" s="53"/>
      <c r="H442" s="54"/>
      <c r="I442" s="55"/>
    </row>
    <row r="443" spans="5:9" x14ac:dyDescent="0.3">
      <c r="E443" s="57"/>
      <c r="G443" s="53"/>
      <c r="H443" s="54"/>
      <c r="I443" s="55"/>
    </row>
    <row r="444" spans="5:9" x14ac:dyDescent="0.3">
      <c r="E444" s="57"/>
      <c r="G444" s="53"/>
      <c r="H444" s="54"/>
      <c r="I444" s="55"/>
    </row>
    <row r="445" spans="5:9" x14ac:dyDescent="0.3">
      <c r="E445" s="57"/>
      <c r="G445" s="53"/>
      <c r="H445" s="54"/>
      <c r="I445" s="55"/>
    </row>
    <row r="446" spans="5:9" x14ac:dyDescent="0.3">
      <c r="E446" s="57"/>
      <c r="G446" s="53"/>
      <c r="H446" s="54"/>
      <c r="I446" s="55"/>
    </row>
    <row r="447" spans="5:9" x14ac:dyDescent="0.3">
      <c r="E447" s="57"/>
      <c r="G447" s="53"/>
      <c r="H447" s="54"/>
      <c r="I447" s="55"/>
    </row>
    <row r="448" spans="5:9" x14ac:dyDescent="0.3">
      <c r="E448" s="57"/>
      <c r="G448" s="53"/>
      <c r="H448" s="54"/>
      <c r="I448" s="55"/>
    </row>
    <row r="449" spans="5:9" x14ac:dyDescent="0.3">
      <c r="E449" s="57"/>
      <c r="G449" s="53"/>
      <c r="H449" s="54"/>
      <c r="I449" s="55"/>
    </row>
    <row r="450" spans="5:9" x14ac:dyDescent="0.3">
      <c r="E450" s="57"/>
      <c r="G450" s="53"/>
      <c r="H450" s="54"/>
      <c r="I450" s="55"/>
    </row>
    <row r="451" spans="5:9" x14ac:dyDescent="0.3">
      <c r="E451" s="57"/>
      <c r="G451" s="53"/>
      <c r="H451" s="54"/>
      <c r="I451" s="55"/>
    </row>
    <row r="452" spans="5:9" x14ac:dyDescent="0.3">
      <c r="E452" s="57"/>
      <c r="G452" s="53"/>
      <c r="H452" s="54"/>
      <c r="I452" s="55"/>
    </row>
    <row r="453" spans="5:9" x14ac:dyDescent="0.3">
      <c r="E453" s="57"/>
      <c r="G453" s="53"/>
      <c r="H453" s="54"/>
      <c r="I453" s="55"/>
    </row>
    <row r="454" spans="5:9" x14ac:dyDescent="0.3">
      <c r="E454" s="57"/>
      <c r="G454" s="53"/>
      <c r="H454" s="54"/>
      <c r="I454" s="55"/>
    </row>
    <row r="455" spans="5:9" x14ac:dyDescent="0.3">
      <c r="E455" s="57"/>
      <c r="G455" s="53"/>
      <c r="H455" s="54"/>
      <c r="I455" s="55"/>
    </row>
    <row r="456" spans="5:9" x14ac:dyDescent="0.3">
      <c r="E456" s="57"/>
      <c r="G456" s="53"/>
      <c r="H456" s="54"/>
      <c r="I456" s="55"/>
    </row>
    <row r="457" spans="5:9" x14ac:dyDescent="0.3">
      <c r="E457" s="57"/>
      <c r="G457" s="53"/>
      <c r="H457" s="54"/>
      <c r="I457" s="55"/>
    </row>
    <row r="458" spans="5:9" x14ac:dyDescent="0.3">
      <c r="E458" s="57"/>
      <c r="G458" s="53"/>
      <c r="H458" s="54"/>
      <c r="I458" s="55"/>
    </row>
    <row r="459" spans="5:9" x14ac:dyDescent="0.3">
      <c r="E459" s="57"/>
      <c r="G459" s="53"/>
      <c r="H459" s="54"/>
      <c r="I459" s="55"/>
    </row>
    <row r="460" spans="5:9" x14ac:dyDescent="0.3">
      <c r="E460" s="57"/>
      <c r="G460" s="53"/>
      <c r="H460" s="54"/>
      <c r="I460" s="55"/>
    </row>
    <row r="461" spans="5:9" x14ac:dyDescent="0.3">
      <c r="E461" s="57"/>
      <c r="G461" s="53"/>
      <c r="H461" s="54"/>
      <c r="I461" s="55"/>
    </row>
    <row r="462" spans="5:9" x14ac:dyDescent="0.3">
      <c r="E462" s="57"/>
      <c r="G462" s="53"/>
      <c r="H462" s="54"/>
      <c r="I462" s="55"/>
    </row>
    <row r="463" spans="5:9" x14ac:dyDescent="0.3">
      <c r="E463" s="57"/>
      <c r="G463" s="53"/>
      <c r="H463" s="54"/>
      <c r="I463" s="55"/>
    </row>
    <row r="464" spans="5:9" x14ac:dyDescent="0.3">
      <c r="E464" s="57"/>
      <c r="G464" s="53"/>
      <c r="H464" s="54"/>
      <c r="I464" s="55"/>
    </row>
    <row r="465" spans="5:9" x14ac:dyDescent="0.3">
      <c r="E465" s="57"/>
      <c r="G465" s="53"/>
      <c r="H465" s="54"/>
      <c r="I465" s="55"/>
    </row>
    <row r="466" spans="5:9" x14ac:dyDescent="0.3">
      <c r="E466" s="57"/>
      <c r="G466" s="53"/>
      <c r="H466" s="54"/>
      <c r="I466" s="55"/>
    </row>
    <row r="467" spans="5:9" x14ac:dyDescent="0.3">
      <c r="E467" s="57"/>
      <c r="G467" s="53"/>
      <c r="H467" s="54"/>
      <c r="I467" s="55"/>
    </row>
    <row r="468" spans="5:9" x14ac:dyDescent="0.3">
      <c r="E468" s="57"/>
      <c r="G468" s="53"/>
      <c r="H468" s="54"/>
      <c r="I468" s="55"/>
    </row>
    <row r="469" spans="5:9" x14ac:dyDescent="0.3">
      <c r="E469" s="57"/>
      <c r="G469" s="53"/>
      <c r="H469" s="54"/>
      <c r="I469" s="55"/>
    </row>
    <row r="470" spans="5:9" x14ac:dyDescent="0.3">
      <c r="E470" s="57"/>
      <c r="G470" s="53"/>
      <c r="H470" s="54"/>
      <c r="I470" s="55"/>
    </row>
    <row r="471" spans="5:9" x14ac:dyDescent="0.3">
      <c r="E471" s="57"/>
      <c r="G471" s="53"/>
      <c r="H471" s="54"/>
      <c r="I471" s="55"/>
    </row>
    <row r="472" spans="5:9" x14ac:dyDescent="0.3">
      <c r="E472" s="57"/>
      <c r="G472" s="53"/>
      <c r="H472" s="54"/>
      <c r="I472" s="55"/>
    </row>
    <row r="473" spans="5:9" x14ac:dyDescent="0.3">
      <c r="E473" s="57"/>
      <c r="G473" s="53"/>
      <c r="H473" s="54"/>
      <c r="I473" s="55"/>
    </row>
    <row r="474" spans="5:9" x14ac:dyDescent="0.3">
      <c r="E474" s="57"/>
      <c r="G474" s="53"/>
      <c r="H474" s="54"/>
      <c r="I474" s="55"/>
    </row>
    <row r="475" spans="5:9" x14ac:dyDescent="0.3">
      <c r="E475" s="57"/>
      <c r="G475" s="53"/>
      <c r="H475" s="54"/>
      <c r="I475" s="55"/>
    </row>
    <row r="476" spans="5:9" x14ac:dyDescent="0.3">
      <c r="E476" s="57"/>
      <c r="G476" s="53"/>
      <c r="H476" s="54"/>
      <c r="I476" s="55"/>
    </row>
    <row r="477" spans="5:9" x14ac:dyDescent="0.3">
      <c r="E477" s="57"/>
      <c r="G477" s="53"/>
      <c r="H477" s="54"/>
      <c r="I477" s="55"/>
    </row>
    <row r="478" spans="5:9" x14ac:dyDescent="0.3">
      <c r="E478" s="57"/>
      <c r="G478" s="53"/>
      <c r="H478" s="54"/>
      <c r="I478" s="55"/>
    </row>
    <row r="479" spans="5:9" x14ac:dyDescent="0.3">
      <c r="E479" s="57"/>
      <c r="G479" s="53"/>
      <c r="H479" s="54"/>
      <c r="I479" s="55"/>
    </row>
    <row r="480" spans="5:9" x14ac:dyDescent="0.3">
      <c r="E480" s="57"/>
      <c r="G480" s="53"/>
      <c r="H480" s="54"/>
      <c r="I480" s="55"/>
    </row>
    <row r="481" spans="5:9" x14ac:dyDescent="0.3">
      <c r="E481" s="57"/>
      <c r="G481" s="53"/>
      <c r="H481" s="54"/>
      <c r="I481" s="55"/>
    </row>
    <row r="482" spans="5:9" x14ac:dyDescent="0.3">
      <c r="E482" s="57"/>
      <c r="G482" s="53"/>
      <c r="H482" s="54"/>
      <c r="I482" s="55"/>
    </row>
    <row r="483" spans="5:9" x14ac:dyDescent="0.3">
      <c r="E483" s="57"/>
      <c r="G483" s="53"/>
      <c r="H483" s="54"/>
      <c r="I483" s="55"/>
    </row>
    <row r="484" spans="5:9" x14ac:dyDescent="0.3">
      <c r="E484" s="57"/>
      <c r="G484" s="53"/>
      <c r="H484" s="54"/>
      <c r="I484" s="55"/>
    </row>
    <row r="485" spans="5:9" x14ac:dyDescent="0.3">
      <c r="E485" s="57"/>
      <c r="G485" s="53"/>
      <c r="H485" s="54"/>
      <c r="I485" s="55"/>
    </row>
    <row r="486" spans="5:9" x14ac:dyDescent="0.3">
      <c r="E486" s="57"/>
      <c r="G486" s="53"/>
      <c r="H486" s="54"/>
      <c r="I486" s="55"/>
    </row>
    <row r="487" spans="5:9" x14ac:dyDescent="0.3">
      <c r="E487" s="57"/>
      <c r="G487" s="53"/>
      <c r="H487" s="54"/>
      <c r="I487" s="55"/>
    </row>
    <row r="488" spans="5:9" x14ac:dyDescent="0.3">
      <c r="E488" s="57"/>
      <c r="G488" s="53"/>
      <c r="H488" s="54"/>
      <c r="I488" s="55"/>
    </row>
    <row r="489" spans="5:9" x14ac:dyDescent="0.3">
      <c r="E489" s="57"/>
      <c r="G489" s="53"/>
      <c r="H489" s="54"/>
      <c r="I489" s="55"/>
    </row>
    <row r="490" spans="5:9" x14ac:dyDescent="0.3">
      <c r="E490" s="57"/>
      <c r="G490" s="53"/>
      <c r="H490" s="54"/>
      <c r="I490" s="55"/>
    </row>
    <row r="491" spans="5:9" x14ac:dyDescent="0.3">
      <c r="E491" s="57"/>
      <c r="G491" s="53"/>
      <c r="H491" s="54"/>
      <c r="I491" s="55"/>
    </row>
    <row r="492" spans="5:9" x14ac:dyDescent="0.3">
      <c r="E492" s="57"/>
      <c r="G492" s="53"/>
      <c r="H492" s="54"/>
      <c r="I492" s="55"/>
    </row>
    <row r="493" spans="5:9" x14ac:dyDescent="0.3">
      <c r="E493" s="57"/>
      <c r="G493" s="53"/>
      <c r="H493" s="54"/>
      <c r="I493" s="55"/>
    </row>
    <row r="494" spans="5:9" x14ac:dyDescent="0.3">
      <c r="E494" s="57"/>
      <c r="G494" s="53"/>
      <c r="H494" s="54"/>
      <c r="I494" s="55"/>
    </row>
    <row r="495" spans="5:9" x14ac:dyDescent="0.3">
      <c r="E495" s="57"/>
      <c r="G495" s="53"/>
      <c r="H495" s="54"/>
      <c r="I495" s="55"/>
    </row>
    <row r="496" spans="5:9" x14ac:dyDescent="0.3">
      <c r="E496" s="57"/>
      <c r="G496" s="53"/>
      <c r="H496" s="54"/>
      <c r="I496" s="55"/>
    </row>
    <row r="497" spans="5:9" x14ac:dyDescent="0.3">
      <c r="E497" s="57"/>
      <c r="G497" s="53"/>
      <c r="H497" s="54"/>
      <c r="I497" s="55"/>
    </row>
    <row r="498" spans="5:9" x14ac:dyDescent="0.3">
      <c r="E498" s="57"/>
      <c r="G498" s="53"/>
      <c r="H498" s="54"/>
      <c r="I498" s="55"/>
    </row>
    <row r="499" spans="5:9" x14ac:dyDescent="0.3">
      <c r="E499" s="57"/>
      <c r="G499" s="53"/>
      <c r="H499" s="54"/>
      <c r="I499" s="55"/>
    </row>
    <row r="500" spans="5:9" x14ac:dyDescent="0.3">
      <c r="E500" s="57"/>
      <c r="G500" s="53"/>
      <c r="H500" s="54"/>
      <c r="I500" s="55"/>
    </row>
    <row r="501" spans="5:9" x14ac:dyDescent="0.3">
      <c r="E501" s="57"/>
      <c r="G501" s="53"/>
      <c r="H501" s="54"/>
      <c r="I501" s="55"/>
    </row>
    <row r="502" spans="5:9" x14ac:dyDescent="0.3">
      <c r="E502" s="57"/>
      <c r="G502" s="53"/>
      <c r="H502" s="54"/>
      <c r="I502" s="55"/>
    </row>
    <row r="503" spans="5:9" x14ac:dyDescent="0.3">
      <c r="E503" s="57"/>
      <c r="G503" s="53"/>
      <c r="H503" s="54"/>
      <c r="I503" s="55"/>
    </row>
    <row r="504" spans="5:9" x14ac:dyDescent="0.3">
      <c r="E504" s="57"/>
      <c r="G504" s="53"/>
      <c r="H504" s="54"/>
      <c r="I504" s="55"/>
    </row>
    <row r="505" spans="5:9" x14ac:dyDescent="0.3">
      <c r="E505" s="57"/>
      <c r="G505" s="53"/>
      <c r="H505" s="54"/>
      <c r="I505" s="55"/>
    </row>
    <row r="506" spans="5:9" x14ac:dyDescent="0.3">
      <c r="E506" s="57"/>
      <c r="G506" s="53"/>
      <c r="H506" s="54"/>
      <c r="I506" s="55"/>
    </row>
    <row r="507" spans="5:9" x14ac:dyDescent="0.3">
      <c r="E507" s="57"/>
      <c r="G507" s="53"/>
      <c r="H507" s="54"/>
      <c r="I507" s="55"/>
    </row>
    <row r="508" spans="5:9" x14ac:dyDescent="0.3">
      <c r="E508" s="57"/>
      <c r="G508" s="53"/>
      <c r="H508" s="54"/>
      <c r="I508" s="55"/>
    </row>
    <row r="509" spans="5:9" x14ac:dyDescent="0.3">
      <c r="E509" s="57"/>
      <c r="G509" s="53"/>
      <c r="H509" s="54"/>
      <c r="I509" s="55"/>
    </row>
    <row r="510" spans="5:9" x14ac:dyDescent="0.3">
      <c r="E510" s="57"/>
      <c r="G510" s="53"/>
      <c r="H510" s="54"/>
      <c r="I510" s="55"/>
    </row>
    <row r="511" spans="5:9" x14ac:dyDescent="0.3">
      <c r="E511" s="57"/>
      <c r="G511" s="53"/>
      <c r="H511" s="54"/>
      <c r="I511" s="55"/>
    </row>
    <row r="512" spans="5:9" x14ac:dyDescent="0.3">
      <c r="E512" s="57"/>
      <c r="G512" s="53"/>
      <c r="H512" s="54"/>
      <c r="I512" s="55"/>
    </row>
    <row r="513" spans="5:9" x14ac:dyDescent="0.3">
      <c r="E513" s="57"/>
      <c r="G513" s="53"/>
      <c r="H513" s="54"/>
      <c r="I513" s="55"/>
    </row>
    <row r="514" spans="5:9" x14ac:dyDescent="0.3">
      <c r="E514" s="57"/>
      <c r="G514" s="53"/>
      <c r="H514" s="54"/>
      <c r="I514" s="55"/>
    </row>
    <row r="515" spans="5:9" x14ac:dyDescent="0.3">
      <c r="E515" s="57"/>
      <c r="G515" s="53"/>
      <c r="H515" s="54"/>
      <c r="I515" s="55"/>
    </row>
    <row r="516" spans="5:9" x14ac:dyDescent="0.3">
      <c r="E516" s="57"/>
      <c r="G516" s="53"/>
      <c r="H516" s="54"/>
      <c r="I516" s="55"/>
    </row>
    <row r="517" spans="5:9" x14ac:dyDescent="0.3">
      <c r="E517" s="57"/>
      <c r="G517" s="53"/>
      <c r="H517" s="54"/>
      <c r="I517" s="55"/>
    </row>
    <row r="518" spans="5:9" x14ac:dyDescent="0.3">
      <c r="E518" s="57"/>
      <c r="G518" s="53"/>
      <c r="H518" s="54"/>
      <c r="I518" s="55"/>
    </row>
    <row r="519" spans="5:9" x14ac:dyDescent="0.3">
      <c r="E519" s="57"/>
      <c r="G519" s="53"/>
      <c r="H519" s="54"/>
      <c r="I519" s="55"/>
    </row>
    <row r="520" spans="5:9" x14ac:dyDescent="0.3">
      <c r="E520" s="57"/>
      <c r="G520" s="53"/>
      <c r="H520" s="54"/>
      <c r="I520" s="55"/>
    </row>
    <row r="521" spans="5:9" x14ac:dyDescent="0.3">
      <c r="E521" s="57"/>
      <c r="G521" s="53"/>
      <c r="H521" s="54"/>
      <c r="I521" s="55"/>
    </row>
    <row r="522" spans="5:9" x14ac:dyDescent="0.3">
      <c r="E522" s="57"/>
      <c r="G522" s="53"/>
      <c r="H522" s="54"/>
      <c r="I522" s="55"/>
    </row>
    <row r="523" spans="5:9" x14ac:dyDescent="0.3">
      <c r="E523" s="57"/>
      <c r="G523" s="53"/>
      <c r="H523" s="54"/>
      <c r="I523" s="55"/>
    </row>
    <row r="524" spans="5:9" x14ac:dyDescent="0.3">
      <c r="E524" s="57"/>
      <c r="G524" s="53"/>
      <c r="H524" s="54"/>
      <c r="I524" s="55"/>
    </row>
    <row r="525" spans="5:9" x14ac:dyDescent="0.3">
      <c r="E525" s="57"/>
      <c r="G525" s="53"/>
      <c r="H525" s="54"/>
      <c r="I525" s="55"/>
    </row>
    <row r="526" spans="5:9" x14ac:dyDescent="0.3">
      <c r="E526" s="57"/>
      <c r="G526" s="53"/>
      <c r="H526" s="54"/>
      <c r="I526" s="55"/>
    </row>
    <row r="527" spans="5:9" x14ac:dyDescent="0.3">
      <c r="E527" s="57"/>
      <c r="G527" s="53"/>
      <c r="H527" s="54"/>
      <c r="I527" s="55"/>
    </row>
    <row r="528" spans="5:9" x14ac:dyDescent="0.3">
      <c r="E528" s="57"/>
      <c r="G528" s="53"/>
      <c r="H528" s="54"/>
      <c r="I528" s="55"/>
    </row>
    <row r="529" spans="5:9" x14ac:dyDescent="0.3">
      <c r="E529" s="57"/>
      <c r="G529" s="53"/>
      <c r="H529" s="54"/>
      <c r="I529" s="55"/>
    </row>
    <row r="530" spans="5:9" x14ac:dyDescent="0.3">
      <c r="E530" s="57"/>
      <c r="G530" s="53"/>
      <c r="H530" s="54"/>
      <c r="I530" s="55"/>
    </row>
    <row r="531" spans="5:9" x14ac:dyDescent="0.3">
      <c r="E531" s="57"/>
      <c r="G531" s="53"/>
      <c r="H531" s="54"/>
      <c r="I531" s="55"/>
    </row>
    <row r="532" spans="5:9" x14ac:dyDescent="0.3">
      <c r="E532" s="57"/>
      <c r="G532" s="53"/>
      <c r="H532" s="54"/>
      <c r="I532" s="55"/>
    </row>
    <row r="533" spans="5:9" x14ac:dyDescent="0.3">
      <c r="E533" s="57"/>
      <c r="G533" s="53"/>
      <c r="H533" s="54"/>
      <c r="I533" s="55"/>
    </row>
    <row r="534" spans="5:9" x14ac:dyDescent="0.3">
      <c r="E534" s="57"/>
      <c r="G534" s="53"/>
      <c r="H534" s="54"/>
      <c r="I534" s="55"/>
    </row>
    <row r="535" spans="5:9" x14ac:dyDescent="0.3">
      <c r="E535" s="57"/>
      <c r="G535" s="53"/>
      <c r="H535" s="54"/>
      <c r="I535" s="55"/>
    </row>
    <row r="536" spans="5:9" x14ac:dyDescent="0.3">
      <c r="E536" s="57"/>
      <c r="G536" s="53"/>
      <c r="H536" s="54"/>
      <c r="I536" s="55"/>
    </row>
    <row r="537" spans="5:9" x14ac:dyDescent="0.3">
      <c r="E537" s="57"/>
      <c r="G537" s="53"/>
      <c r="H537" s="54"/>
      <c r="I537" s="55"/>
    </row>
    <row r="538" spans="5:9" x14ac:dyDescent="0.3">
      <c r="E538" s="57"/>
      <c r="G538" s="53"/>
      <c r="H538" s="54"/>
      <c r="I538" s="55"/>
    </row>
    <row r="539" spans="5:9" x14ac:dyDescent="0.3">
      <c r="E539" s="57"/>
      <c r="G539" s="53"/>
      <c r="H539" s="54"/>
      <c r="I539" s="55"/>
    </row>
    <row r="540" spans="5:9" x14ac:dyDescent="0.3">
      <c r="E540" s="57"/>
      <c r="G540" s="53"/>
      <c r="H540" s="54"/>
      <c r="I540" s="55"/>
    </row>
    <row r="541" spans="5:9" x14ac:dyDescent="0.3">
      <c r="E541" s="57"/>
      <c r="G541" s="53"/>
      <c r="H541" s="54"/>
      <c r="I541" s="55"/>
    </row>
    <row r="542" spans="5:9" x14ac:dyDescent="0.3">
      <c r="E542" s="57"/>
      <c r="G542" s="53"/>
      <c r="H542" s="54"/>
      <c r="I542" s="55"/>
    </row>
    <row r="543" spans="5:9" x14ac:dyDescent="0.3">
      <c r="E543" s="57"/>
      <c r="G543" s="53"/>
      <c r="H543" s="54"/>
      <c r="I543" s="55"/>
    </row>
    <row r="544" spans="5:9" x14ac:dyDescent="0.3">
      <c r="E544" s="57"/>
      <c r="G544" s="53"/>
      <c r="H544" s="54"/>
      <c r="I544" s="55"/>
    </row>
    <row r="545" spans="5:9" x14ac:dyDescent="0.3">
      <c r="E545" s="57"/>
      <c r="G545" s="53"/>
      <c r="H545" s="54"/>
      <c r="I545" s="55"/>
    </row>
    <row r="546" spans="5:9" x14ac:dyDescent="0.3">
      <c r="E546" s="57"/>
      <c r="G546" s="53"/>
      <c r="H546" s="54"/>
      <c r="I546" s="55"/>
    </row>
    <row r="547" spans="5:9" x14ac:dyDescent="0.3">
      <c r="E547" s="57"/>
      <c r="G547" s="53"/>
      <c r="H547" s="54"/>
      <c r="I547" s="55"/>
    </row>
    <row r="548" spans="5:9" x14ac:dyDescent="0.3">
      <c r="E548" s="57"/>
      <c r="G548" s="53"/>
      <c r="H548" s="54"/>
      <c r="I548" s="55"/>
    </row>
    <row r="549" spans="5:9" x14ac:dyDescent="0.3">
      <c r="E549" s="57"/>
      <c r="G549" s="53"/>
      <c r="H549" s="54"/>
      <c r="I549" s="55"/>
    </row>
    <row r="550" spans="5:9" x14ac:dyDescent="0.3">
      <c r="E550" s="57"/>
      <c r="G550" s="53"/>
      <c r="H550" s="54"/>
      <c r="I550" s="55"/>
    </row>
    <row r="551" spans="5:9" x14ac:dyDescent="0.3">
      <c r="E551" s="57"/>
      <c r="G551" s="53"/>
      <c r="H551" s="54"/>
      <c r="I551" s="55"/>
    </row>
    <row r="552" spans="5:9" x14ac:dyDescent="0.3">
      <c r="E552" s="57"/>
      <c r="G552" s="53"/>
      <c r="H552" s="54"/>
      <c r="I552" s="55"/>
    </row>
    <row r="553" spans="5:9" x14ac:dyDescent="0.3">
      <c r="E553" s="57"/>
      <c r="G553" s="53"/>
      <c r="H553" s="54"/>
      <c r="I553" s="55"/>
    </row>
    <row r="554" spans="5:9" x14ac:dyDescent="0.3">
      <c r="E554" s="57"/>
      <c r="G554" s="53"/>
      <c r="H554" s="54"/>
      <c r="I554" s="55"/>
    </row>
    <row r="555" spans="5:9" x14ac:dyDescent="0.3">
      <c r="E555" s="57"/>
      <c r="G555" s="53"/>
      <c r="H555" s="54"/>
      <c r="I555" s="55"/>
    </row>
    <row r="556" spans="5:9" x14ac:dyDescent="0.3">
      <c r="E556" s="57"/>
      <c r="G556" s="53"/>
      <c r="H556" s="54"/>
      <c r="I556" s="55"/>
    </row>
    <row r="557" spans="5:9" x14ac:dyDescent="0.3">
      <c r="E557" s="57"/>
      <c r="G557" s="53"/>
      <c r="H557" s="54"/>
      <c r="I557" s="55"/>
    </row>
    <row r="558" spans="5:9" x14ac:dyDescent="0.3">
      <c r="E558" s="57"/>
      <c r="G558" s="53"/>
      <c r="H558" s="54"/>
      <c r="I558" s="55"/>
    </row>
    <row r="559" spans="5:9" x14ac:dyDescent="0.3">
      <c r="E559" s="57"/>
      <c r="G559" s="53"/>
      <c r="H559" s="54"/>
      <c r="I559" s="55"/>
    </row>
    <row r="560" spans="5:9" x14ac:dyDescent="0.3">
      <c r="E560" s="57"/>
      <c r="G560" s="53"/>
      <c r="H560" s="54"/>
      <c r="I560" s="55"/>
    </row>
    <row r="561" spans="5:9" x14ac:dyDescent="0.3">
      <c r="E561" s="57"/>
      <c r="G561" s="53"/>
      <c r="H561" s="54"/>
      <c r="I561" s="55"/>
    </row>
    <row r="562" spans="5:9" x14ac:dyDescent="0.3">
      <c r="E562" s="57"/>
      <c r="G562" s="53"/>
      <c r="H562" s="54"/>
      <c r="I562" s="55"/>
    </row>
    <row r="563" spans="5:9" x14ac:dyDescent="0.3">
      <c r="E563" s="57"/>
      <c r="G563" s="53"/>
      <c r="H563" s="54"/>
      <c r="I563" s="55"/>
    </row>
    <row r="564" spans="5:9" x14ac:dyDescent="0.3">
      <c r="E564" s="57"/>
      <c r="G564" s="53"/>
      <c r="H564" s="54"/>
      <c r="I564" s="55"/>
    </row>
    <row r="565" spans="5:9" x14ac:dyDescent="0.3">
      <c r="E565" s="57"/>
      <c r="G565" s="53"/>
      <c r="H565" s="54"/>
      <c r="I565" s="55"/>
    </row>
    <row r="566" spans="5:9" x14ac:dyDescent="0.3">
      <c r="E566" s="57"/>
      <c r="G566" s="53"/>
      <c r="H566" s="54"/>
      <c r="I566" s="55"/>
    </row>
    <row r="567" spans="5:9" x14ac:dyDescent="0.3">
      <c r="E567" s="57"/>
      <c r="G567" s="53"/>
      <c r="H567" s="54"/>
      <c r="I567" s="55"/>
    </row>
    <row r="568" spans="5:9" x14ac:dyDescent="0.3">
      <c r="E568" s="57"/>
      <c r="G568" s="53"/>
      <c r="H568" s="54"/>
      <c r="I568" s="55"/>
    </row>
    <row r="569" spans="5:9" x14ac:dyDescent="0.3">
      <c r="E569" s="57"/>
      <c r="G569" s="53"/>
      <c r="H569" s="54"/>
      <c r="I569" s="55"/>
    </row>
    <row r="570" spans="5:9" x14ac:dyDescent="0.3">
      <c r="E570" s="57"/>
      <c r="G570" s="53"/>
      <c r="H570" s="54"/>
      <c r="I570" s="55"/>
    </row>
    <row r="571" spans="5:9" x14ac:dyDescent="0.3">
      <c r="E571" s="57"/>
      <c r="G571" s="53"/>
      <c r="H571" s="54"/>
      <c r="I571" s="55"/>
    </row>
    <row r="572" spans="5:9" x14ac:dyDescent="0.3">
      <c r="E572" s="57"/>
      <c r="G572" s="53"/>
      <c r="H572" s="54"/>
      <c r="I572" s="55"/>
    </row>
    <row r="573" spans="5:9" x14ac:dyDescent="0.3">
      <c r="E573" s="57"/>
      <c r="G573" s="53"/>
      <c r="H573" s="54"/>
      <c r="I573" s="55"/>
    </row>
    <row r="574" spans="5:9" x14ac:dyDescent="0.3">
      <c r="E574" s="57"/>
      <c r="G574" s="53"/>
      <c r="H574" s="54"/>
      <c r="I574" s="55"/>
    </row>
    <row r="575" spans="5:9" x14ac:dyDescent="0.3">
      <c r="E575" s="57"/>
      <c r="G575" s="53"/>
      <c r="H575" s="54"/>
      <c r="I575" s="55"/>
    </row>
    <row r="576" spans="5:9" x14ac:dyDescent="0.3">
      <c r="E576" s="57"/>
      <c r="G576" s="53"/>
      <c r="H576" s="54"/>
      <c r="I576" s="55"/>
    </row>
    <row r="577" spans="5:9" x14ac:dyDescent="0.3">
      <c r="E577" s="57"/>
      <c r="G577" s="53"/>
      <c r="H577" s="54"/>
      <c r="I577" s="55"/>
    </row>
    <row r="578" spans="5:9" x14ac:dyDescent="0.3">
      <c r="E578" s="57"/>
      <c r="G578" s="53"/>
      <c r="H578" s="54"/>
      <c r="I578" s="55"/>
    </row>
    <row r="579" spans="5:9" x14ac:dyDescent="0.3">
      <c r="E579" s="57"/>
      <c r="G579" s="53"/>
      <c r="H579" s="54"/>
      <c r="I579" s="55"/>
    </row>
    <row r="580" spans="5:9" x14ac:dyDescent="0.3">
      <c r="E580" s="57"/>
      <c r="G580" s="53"/>
      <c r="H580" s="54"/>
      <c r="I580" s="55"/>
    </row>
    <row r="581" spans="5:9" x14ac:dyDescent="0.3">
      <c r="E581" s="57"/>
      <c r="G581" s="53"/>
      <c r="H581" s="54"/>
      <c r="I581" s="55"/>
    </row>
    <row r="582" spans="5:9" x14ac:dyDescent="0.3">
      <c r="E582" s="57"/>
      <c r="G582" s="53"/>
      <c r="H582" s="54"/>
      <c r="I582" s="55"/>
    </row>
    <row r="583" spans="5:9" x14ac:dyDescent="0.3">
      <c r="E583" s="57"/>
      <c r="G583" s="53"/>
      <c r="H583" s="54"/>
      <c r="I583" s="55"/>
    </row>
    <row r="584" spans="5:9" x14ac:dyDescent="0.3">
      <c r="E584" s="57"/>
      <c r="G584" s="53"/>
      <c r="H584" s="54"/>
      <c r="I584" s="55"/>
    </row>
    <row r="585" spans="5:9" x14ac:dyDescent="0.3">
      <c r="E585" s="57"/>
      <c r="G585" s="53"/>
      <c r="H585" s="54"/>
      <c r="I585" s="55"/>
    </row>
    <row r="586" spans="5:9" x14ac:dyDescent="0.3">
      <c r="E586" s="57"/>
      <c r="G586" s="53"/>
      <c r="H586" s="54"/>
      <c r="I586" s="55"/>
    </row>
    <row r="587" spans="5:9" x14ac:dyDescent="0.3">
      <c r="E587" s="57"/>
      <c r="G587" s="53"/>
      <c r="H587" s="54"/>
      <c r="I587" s="55"/>
    </row>
    <row r="588" spans="5:9" x14ac:dyDescent="0.3">
      <c r="E588" s="57"/>
      <c r="G588" s="53"/>
      <c r="H588" s="54"/>
      <c r="I588" s="55"/>
    </row>
    <row r="589" spans="5:9" x14ac:dyDescent="0.3">
      <c r="E589" s="57"/>
      <c r="G589" s="53"/>
      <c r="H589" s="54"/>
      <c r="I589" s="55"/>
    </row>
    <row r="590" spans="5:9" x14ac:dyDescent="0.3">
      <c r="E590" s="57"/>
      <c r="G590" s="53"/>
      <c r="H590" s="54"/>
      <c r="I590" s="55"/>
    </row>
    <row r="591" spans="5:9" x14ac:dyDescent="0.3">
      <c r="E591" s="57"/>
      <c r="G591" s="53"/>
      <c r="H591" s="54"/>
      <c r="I591" s="55"/>
    </row>
    <row r="592" spans="5:9" x14ac:dyDescent="0.3">
      <c r="E592" s="57"/>
      <c r="G592" s="53"/>
      <c r="H592" s="54"/>
      <c r="I592" s="55"/>
    </row>
    <row r="593" spans="5:9" x14ac:dyDescent="0.3">
      <c r="E593" s="57"/>
      <c r="G593" s="53"/>
      <c r="H593" s="54"/>
      <c r="I593" s="55"/>
    </row>
    <row r="594" spans="5:9" x14ac:dyDescent="0.3">
      <c r="E594" s="57"/>
      <c r="G594" s="53"/>
      <c r="H594" s="54"/>
      <c r="I594" s="55"/>
    </row>
    <row r="595" spans="5:9" x14ac:dyDescent="0.3">
      <c r="E595" s="57"/>
      <c r="G595" s="53"/>
      <c r="H595" s="54"/>
      <c r="I595" s="55"/>
    </row>
    <row r="596" spans="5:9" x14ac:dyDescent="0.3">
      <c r="E596" s="57"/>
      <c r="G596" s="53"/>
      <c r="H596" s="54"/>
      <c r="I596" s="55"/>
    </row>
    <row r="597" spans="5:9" x14ac:dyDescent="0.3">
      <c r="E597" s="57"/>
      <c r="G597" s="53"/>
      <c r="H597" s="54"/>
      <c r="I597" s="55"/>
    </row>
    <row r="598" spans="5:9" x14ac:dyDescent="0.3">
      <c r="E598" s="57"/>
      <c r="G598" s="53"/>
      <c r="H598" s="54"/>
      <c r="I598" s="55"/>
    </row>
    <row r="599" spans="5:9" x14ac:dyDescent="0.3">
      <c r="E599" s="57"/>
      <c r="G599" s="53"/>
      <c r="H599" s="54"/>
      <c r="I599" s="55"/>
    </row>
    <row r="600" spans="5:9" x14ac:dyDescent="0.3">
      <c r="E600" s="57"/>
      <c r="G600" s="53"/>
      <c r="H600" s="54"/>
      <c r="I600" s="55"/>
    </row>
    <row r="601" spans="5:9" x14ac:dyDescent="0.3">
      <c r="E601" s="57"/>
      <c r="G601" s="53"/>
      <c r="H601" s="54"/>
      <c r="I601" s="55"/>
    </row>
    <row r="602" spans="5:9" x14ac:dyDescent="0.3">
      <c r="E602" s="57"/>
      <c r="G602" s="53"/>
      <c r="H602" s="54"/>
      <c r="I602" s="55"/>
    </row>
    <row r="603" spans="5:9" x14ac:dyDescent="0.3">
      <c r="E603" s="57"/>
      <c r="G603" s="53"/>
      <c r="H603" s="54"/>
      <c r="I603" s="55"/>
    </row>
    <row r="604" spans="5:9" x14ac:dyDescent="0.3">
      <c r="E604" s="57"/>
      <c r="G604" s="53"/>
      <c r="H604" s="54"/>
      <c r="I604" s="55"/>
    </row>
    <row r="605" spans="5:9" x14ac:dyDescent="0.3">
      <c r="E605" s="57"/>
      <c r="G605" s="53"/>
      <c r="H605" s="54"/>
      <c r="I605" s="55"/>
    </row>
    <row r="606" spans="5:9" x14ac:dyDescent="0.3">
      <c r="E606" s="57"/>
      <c r="G606" s="53"/>
      <c r="H606" s="54"/>
      <c r="I606" s="55"/>
    </row>
    <row r="607" spans="5:9" x14ac:dyDescent="0.3">
      <c r="E607" s="57"/>
      <c r="G607" s="53"/>
      <c r="H607" s="54"/>
      <c r="I607" s="55"/>
    </row>
    <row r="608" spans="5:9" x14ac:dyDescent="0.3">
      <c r="E608" s="57"/>
      <c r="G608" s="53"/>
      <c r="H608" s="54"/>
      <c r="I608" s="55"/>
    </row>
    <row r="609" spans="5:9" x14ac:dyDescent="0.3">
      <c r="E609" s="57"/>
      <c r="G609" s="53"/>
      <c r="H609" s="54"/>
      <c r="I609" s="55"/>
    </row>
    <row r="610" spans="5:9" x14ac:dyDescent="0.3">
      <c r="E610" s="57"/>
      <c r="G610" s="53"/>
      <c r="H610" s="54"/>
      <c r="I610" s="55"/>
    </row>
    <row r="611" spans="5:9" x14ac:dyDescent="0.3">
      <c r="E611" s="57"/>
      <c r="G611" s="53"/>
      <c r="H611" s="54"/>
      <c r="I611" s="55"/>
    </row>
    <row r="612" spans="5:9" x14ac:dyDescent="0.3">
      <c r="E612" s="57"/>
      <c r="G612" s="53"/>
      <c r="H612" s="54"/>
      <c r="I612" s="55"/>
    </row>
    <row r="613" spans="5:9" x14ac:dyDescent="0.3">
      <c r="E613" s="57"/>
      <c r="G613" s="53"/>
      <c r="H613" s="54"/>
      <c r="I613" s="55"/>
    </row>
    <row r="614" spans="5:9" x14ac:dyDescent="0.3">
      <c r="E614" s="57"/>
      <c r="G614" s="53"/>
      <c r="H614" s="54"/>
      <c r="I614" s="55"/>
    </row>
    <row r="615" spans="5:9" x14ac:dyDescent="0.3">
      <c r="E615" s="57"/>
      <c r="G615" s="53"/>
      <c r="H615" s="54"/>
      <c r="I615" s="55"/>
    </row>
    <row r="616" spans="5:9" x14ac:dyDescent="0.3">
      <c r="E616" s="57"/>
      <c r="G616" s="53"/>
      <c r="H616" s="54"/>
      <c r="I616" s="55"/>
    </row>
    <row r="617" spans="5:9" x14ac:dyDescent="0.3">
      <c r="E617" s="57"/>
      <c r="G617" s="53"/>
      <c r="H617" s="54"/>
      <c r="I617" s="55"/>
    </row>
    <row r="618" spans="5:9" x14ac:dyDescent="0.3">
      <c r="E618" s="57"/>
      <c r="G618" s="53"/>
      <c r="H618" s="54"/>
      <c r="I618" s="55"/>
    </row>
    <row r="619" spans="5:9" x14ac:dyDescent="0.3">
      <c r="E619" s="57"/>
      <c r="G619" s="53"/>
      <c r="H619" s="54"/>
      <c r="I619" s="55"/>
    </row>
    <row r="620" spans="5:9" x14ac:dyDescent="0.3">
      <c r="E620" s="57"/>
      <c r="G620" s="53"/>
      <c r="H620" s="54"/>
      <c r="I620" s="55"/>
    </row>
    <row r="621" spans="5:9" x14ac:dyDescent="0.3">
      <c r="E621" s="57"/>
      <c r="G621" s="53"/>
      <c r="H621" s="54"/>
      <c r="I621" s="55"/>
    </row>
    <row r="622" spans="5:9" x14ac:dyDescent="0.3">
      <c r="E622" s="57"/>
      <c r="G622" s="53"/>
      <c r="H622" s="54"/>
      <c r="I622" s="55"/>
    </row>
    <row r="623" spans="5:9" x14ac:dyDescent="0.3">
      <c r="E623" s="57"/>
      <c r="G623" s="53"/>
      <c r="H623" s="54"/>
      <c r="I623" s="55"/>
    </row>
    <row r="624" spans="5:9" x14ac:dyDescent="0.3">
      <c r="E624" s="57"/>
      <c r="G624" s="53"/>
      <c r="H624" s="54"/>
      <c r="I624" s="55"/>
    </row>
    <row r="625" spans="5:9" x14ac:dyDescent="0.3">
      <c r="E625" s="57"/>
      <c r="G625" s="53"/>
      <c r="H625" s="54"/>
      <c r="I625" s="55"/>
    </row>
    <row r="626" spans="5:9" x14ac:dyDescent="0.3">
      <c r="E626" s="57"/>
      <c r="G626" s="53"/>
      <c r="H626" s="54"/>
      <c r="I626" s="55"/>
    </row>
    <row r="627" spans="5:9" x14ac:dyDescent="0.3">
      <c r="E627" s="57"/>
      <c r="G627" s="53"/>
      <c r="H627" s="54"/>
      <c r="I627" s="55"/>
    </row>
    <row r="628" spans="5:9" x14ac:dyDescent="0.3">
      <c r="E628" s="57"/>
      <c r="G628" s="53"/>
      <c r="H628" s="54"/>
      <c r="I628" s="55"/>
    </row>
    <row r="629" spans="5:9" x14ac:dyDescent="0.3">
      <c r="E629" s="57"/>
      <c r="G629" s="53"/>
      <c r="H629" s="54"/>
      <c r="I629" s="55"/>
    </row>
    <row r="630" spans="5:9" x14ac:dyDescent="0.3">
      <c r="E630" s="57"/>
      <c r="G630" s="53"/>
      <c r="H630" s="54"/>
      <c r="I630" s="55"/>
    </row>
    <row r="631" spans="5:9" x14ac:dyDescent="0.3">
      <c r="E631" s="57"/>
      <c r="G631" s="53"/>
      <c r="H631" s="54"/>
      <c r="I631" s="55"/>
    </row>
    <row r="632" spans="5:9" x14ac:dyDescent="0.3">
      <c r="E632" s="57"/>
      <c r="G632" s="53"/>
      <c r="H632" s="54"/>
      <c r="I632" s="55"/>
    </row>
    <row r="633" spans="5:9" x14ac:dyDescent="0.3">
      <c r="E633" s="57"/>
      <c r="G633" s="53"/>
      <c r="H633" s="54"/>
      <c r="I633" s="55"/>
    </row>
    <row r="634" spans="5:9" x14ac:dyDescent="0.3">
      <c r="E634" s="57"/>
      <c r="G634" s="53"/>
      <c r="H634" s="54"/>
      <c r="I634" s="55"/>
    </row>
    <row r="635" spans="5:9" x14ac:dyDescent="0.3">
      <c r="E635" s="57"/>
      <c r="G635" s="53"/>
      <c r="H635" s="54"/>
      <c r="I635" s="55"/>
    </row>
    <row r="636" spans="5:9" x14ac:dyDescent="0.3">
      <c r="E636" s="57"/>
      <c r="G636" s="53"/>
      <c r="H636" s="54"/>
      <c r="I636" s="55"/>
    </row>
    <row r="637" spans="5:9" x14ac:dyDescent="0.3">
      <c r="E637" s="57"/>
      <c r="G637" s="53"/>
      <c r="H637" s="54"/>
      <c r="I637" s="55"/>
    </row>
    <row r="638" spans="5:9" x14ac:dyDescent="0.3">
      <c r="E638" s="57"/>
      <c r="G638" s="53"/>
      <c r="H638" s="54"/>
      <c r="I638" s="55"/>
    </row>
    <row r="639" spans="5:9" x14ac:dyDescent="0.3">
      <c r="E639" s="57"/>
      <c r="G639" s="53"/>
      <c r="H639" s="54"/>
      <c r="I639" s="55"/>
    </row>
    <row r="640" spans="5:9" x14ac:dyDescent="0.3">
      <c r="E640" s="57"/>
      <c r="G640" s="53"/>
      <c r="H640" s="54"/>
      <c r="I640" s="55"/>
    </row>
    <row r="641" spans="5:9" x14ac:dyDescent="0.3">
      <c r="E641" s="57"/>
      <c r="G641" s="53"/>
      <c r="H641" s="54"/>
      <c r="I641" s="55"/>
    </row>
    <row r="642" spans="5:9" x14ac:dyDescent="0.3">
      <c r="E642" s="57"/>
      <c r="G642" s="53"/>
      <c r="H642" s="54"/>
      <c r="I642" s="55"/>
    </row>
    <row r="643" spans="5:9" x14ac:dyDescent="0.3">
      <c r="E643" s="57"/>
      <c r="G643" s="53"/>
      <c r="H643" s="54"/>
      <c r="I643" s="55"/>
    </row>
    <row r="644" spans="5:9" x14ac:dyDescent="0.3">
      <c r="E644" s="57"/>
      <c r="G644" s="53"/>
      <c r="H644" s="54"/>
      <c r="I644" s="55"/>
    </row>
    <row r="645" spans="5:9" x14ac:dyDescent="0.3">
      <c r="E645" s="57"/>
      <c r="G645" s="53"/>
      <c r="H645" s="54"/>
      <c r="I645" s="55"/>
    </row>
    <row r="646" spans="5:9" x14ac:dyDescent="0.3">
      <c r="E646" s="57"/>
      <c r="G646" s="53"/>
      <c r="H646" s="54"/>
      <c r="I646" s="55"/>
    </row>
    <row r="647" spans="5:9" x14ac:dyDescent="0.3">
      <c r="E647" s="57"/>
      <c r="G647" s="53"/>
      <c r="H647" s="54"/>
      <c r="I647" s="55"/>
    </row>
    <row r="648" spans="5:9" x14ac:dyDescent="0.3">
      <c r="E648" s="57"/>
      <c r="G648" s="53"/>
      <c r="H648" s="54"/>
      <c r="I648" s="55"/>
    </row>
    <row r="649" spans="5:9" x14ac:dyDescent="0.3">
      <c r="E649" s="57"/>
      <c r="G649" s="53"/>
      <c r="H649" s="54"/>
      <c r="I649" s="55"/>
    </row>
    <row r="650" spans="5:9" x14ac:dyDescent="0.3">
      <c r="E650" s="57"/>
      <c r="G650" s="53"/>
      <c r="H650" s="54"/>
      <c r="I650" s="55"/>
    </row>
    <row r="651" spans="5:9" x14ac:dyDescent="0.3">
      <c r="E651" s="57"/>
      <c r="G651" s="53"/>
      <c r="H651" s="54"/>
      <c r="I651" s="55"/>
    </row>
    <row r="652" spans="5:9" x14ac:dyDescent="0.3">
      <c r="E652" s="57"/>
      <c r="G652" s="53"/>
      <c r="H652" s="54"/>
      <c r="I652" s="55"/>
    </row>
    <row r="653" spans="5:9" x14ac:dyDescent="0.3">
      <c r="E653" s="57"/>
      <c r="G653" s="53"/>
      <c r="H653" s="54"/>
      <c r="I653" s="55"/>
    </row>
    <row r="654" spans="5:9" x14ac:dyDescent="0.3">
      <c r="E654" s="57"/>
      <c r="G654" s="53"/>
      <c r="H654" s="54"/>
      <c r="I654" s="55"/>
    </row>
    <row r="655" spans="5:9" x14ac:dyDescent="0.3">
      <c r="E655" s="57"/>
      <c r="G655" s="53"/>
      <c r="H655" s="54"/>
      <c r="I655" s="55"/>
    </row>
    <row r="656" spans="5:9" x14ac:dyDescent="0.3">
      <c r="E656" s="57"/>
      <c r="G656" s="53"/>
      <c r="H656" s="54"/>
      <c r="I656" s="55"/>
    </row>
    <row r="657" spans="5:9" x14ac:dyDescent="0.3">
      <c r="E657" s="57"/>
      <c r="G657" s="53"/>
      <c r="H657" s="54"/>
      <c r="I657" s="55"/>
    </row>
    <row r="658" spans="5:9" x14ac:dyDescent="0.3">
      <c r="E658" s="57"/>
      <c r="G658" s="53"/>
      <c r="H658" s="54"/>
      <c r="I658" s="55"/>
    </row>
    <row r="659" spans="5:9" x14ac:dyDescent="0.3">
      <c r="E659" s="57"/>
      <c r="G659" s="53"/>
      <c r="H659" s="54"/>
      <c r="I659" s="55"/>
    </row>
    <row r="660" spans="5:9" x14ac:dyDescent="0.3">
      <c r="E660" s="57"/>
      <c r="G660" s="53"/>
      <c r="H660" s="54"/>
      <c r="I660" s="55"/>
    </row>
    <row r="661" spans="5:9" x14ac:dyDescent="0.3">
      <c r="E661" s="57"/>
      <c r="G661" s="53"/>
      <c r="H661" s="54"/>
      <c r="I661" s="55"/>
    </row>
    <row r="662" spans="5:9" x14ac:dyDescent="0.3">
      <c r="E662" s="57"/>
      <c r="G662" s="53"/>
      <c r="H662" s="54"/>
      <c r="I662" s="55"/>
    </row>
    <row r="663" spans="5:9" x14ac:dyDescent="0.3">
      <c r="E663" s="57"/>
      <c r="G663" s="53"/>
      <c r="H663" s="54"/>
      <c r="I663" s="55"/>
    </row>
    <row r="664" spans="5:9" x14ac:dyDescent="0.3">
      <c r="E664" s="57"/>
      <c r="G664" s="53"/>
      <c r="H664" s="54"/>
      <c r="I664" s="55"/>
    </row>
    <row r="665" spans="5:9" x14ac:dyDescent="0.3">
      <c r="E665" s="57"/>
      <c r="G665" s="53"/>
      <c r="H665" s="54"/>
      <c r="I665" s="55"/>
    </row>
    <row r="666" spans="5:9" x14ac:dyDescent="0.3">
      <c r="E666" s="57"/>
      <c r="G666" s="53"/>
      <c r="H666" s="54"/>
      <c r="I666" s="55"/>
    </row>
    <row r="667" spans="5:9" x14ac:dyDescent="0.3">
      <c r="E667" s="57"/>
      <c r="G667" s="53"/>
      <c r="H667" s="54"/>
      <c r="I667" s="55"/>
    </row>
    <row r="668" spans="5:9" x14ac:dyDescent="0.3">
      <c r="E668" s="57"/>
      <c r="G668" s="53"/>
      <c r="H668" s="54"/>
      <c r="I668" s="55"/>
    </row>
    <row r="669" spans="5:9" x14ac:dyDescent="0.3">
      <c r="E669" s="57"/>
      <c r="G669" s="53"/>
      <c r="H669" s="54"/>
      <c r="I669" s="55"/>
    </row>
    <row r="670" spans="5:9" x14ac:dyDescent="0.3">
      <c r="E670" s="57"/>
      <c r="G670" s="53"/>
      <c r="H670" s="54"/>
      <c r="I670" s="55"/>
    </row>
    <row r="671" spans="5:9" x14ac:dyDescent="0.3">
      <c r="E671" s="57"/>
      <c r="G671" s="53"/>
      <c r="H671" s="54"/>
      <c r="I671" s="55"/>
    </row>
    <row r="672" spans="5:9" x14ac:dyDescent="0.3">
      <c r="E672" s="57"/>
      <c r="G672" s="53"/>
      <c r="H672" s="54"/>
      <c r="I672" s="55"/>
    </row>
    <row r="673" spans="5:9" x14ac:dyDescent="0.3">
      <c r="E673" s="57"/>
      <c r="G673" s="53"/>
      <c r="H673" s="54"/>
      <c r="I673" s="55"/>
    </row>
    <row r="674" spans="5:9" x14ac:dyDescent="0.3">
      <c r="E674" s="57"/>
      <c r="G674" s="53"/>
      <c r="H674" s="54"/>
      <c r="I674" s="55"/>
    </row>
    <row r="675" spans="5:9" x14ac:dyDescent="0.3">
      <c r="E675" s="57"/>
      <c r="G675" s="53"/>
      <c r="H675" s="54"/>
      <c r="I675" s="55"/>
    </row>
    <row r="676" spans="5:9" x14ac:dyDescent="0.3">
      <c r="E676" s="57"/>
      <c r="G676" s="53"/>
      <c r="H676" s="54"/>
      <c r="I676" s="55"/>
    </row>
    <row r="677" spans="5:9" x14ac:dyDescent="0.3">
      <c r="E677" s="57"/>
      <c r="G677" s="53"/>
      <c r="H677" s="54"/>
      <c r="I677" s="55"/>
    </row>
    <row r="678" spans="5:9" x14ac:dyDescent="0.3">
      <c r="E678" s="57"/>
      <c r="G678" s="53"/>
      <c r="H678" s="54"/>
      <c r="I678" s="55"/>
    </row>
    <row r="679" spans="5:9" x14ac:dyDescent="0.3">
      <c r="E679" s="57"/>
      <c r="G679" s="53"/>
      <c r="H679" s="54"/>
      <c r="I679" s="55"/>
    </row>
    <row r="680" spans="5:9" x14ac:dyDescent="0.3">
      <c r="E680" s="57"/>
      <c r="G680" s="53"/>
      <c r="H680" s="54"/>
      <c r="I680" s="55"/>
    </row>
    <row r="681" spans="5:9" x14ac:dyDescent="0.3">
      <c r="E681" s="57"/>
      <c r="G681" s="53"/>
      <c r="H681" s="54"/>
      <c r="I681" s="55"/>
    </row>
    <row r="682" spans="5:9" x14ac:dyDescent="0.3">
      <c r="E682" s="57"/>
      <c r="G682" s="53"/>
      <c r="H682" s="54"/>
      <c r="I682" s="55"/>
    </row>
    <row r="683" spans="5:9" x14ac:dyDescent="0.3">
      <c r="E683" s="57"/>
      <c r="G683" s="53"/>
      <c r="H683" s="54"/>
      <c r="I683" s="55"/>
    </row>
    <row r="684" spans="5:9" x14ac:dyDescent="0.3">
      <c r="E684" s="57"/>
      <c r="G684" s="53"/>
      <c r="H684" s="54"/>
      <c r="I684" s="55"/>
    </row>
    <row r="685" spans="5:9" x14ac:dyDescent="0.3">
      <c r="E685" s="57"/>
      <c r="G685" s="53"/>
      <c r="H685" s="54"/>
      <c r="I685" s="55"/>
    </row>
    <row r="686" spans="5:9" x14ac:dyDescent="0.3">
      <c r="E686" s="57"/>
      <c r="G686" s="53"/>
      <c r="H686" s="54"/>
      <c r="I686" s="55"/>
    </row>
    <row r="687" spans="5:9" x14ac:dyDescent="0.3">
      <c r="E687" s="57"/>
      <c r="G687" s="53"/>
      <c r="H687" s="54"/>
      <c r="I687" s="55"/>
    </row>
    <row r="688" spans="5:9" x14ac:dyDescent="0.3">
      <c r="E688" s="57"/>
      <c r="G688" s="53"/>
      <c r="H688" s="54"/>
      <c r="I688" s="55"/>
    </row>
    <row r="689" spans="5:9" x14ac:dyDescent="0.3">
      <c r="E689" s="57"/>
      <c r="G689" s="53"/>
      <c r="H689" s="54"/>
      <c r="I689" s="55"/>
    </row>
    <row r="690" spans="5:9" x14ac:dyDescent="0.3">
      <c r="E690" s="57"/>
      <c r="G690" s="53"/>
      <c r="H690" s="54"/>
      <c r="I690" s="55"/>
    </row>
    <row r="691" spans="5:9" x14ac:dyDescent="0.3">
      <c r="E691" s="57"/>
      <c r="G691" s="53"/>
      <c r="H691" s="54"/>
      <c r="I691" s="55"/>
    </row>
    <row r="692" spans="5:9" x14ac:dyDescent="0.3">
      <c r="E692" s="57"/>
      <c r="G692" s="53"/>
      <c r="H692" s="54"/>
      <c r="I692" s="55"/>
    </row>
    <row r="693" spans="5:9" x14ac:dyDescent="0.3">
      <c r="E693" s="57"/>
      <c r="G693" s="53"/>
      <c r="H693" s="54"/>
      <c r="I693" s="55"/>
    </row>
    <row r="694" spans="5:9" x14ac:dyDescent="0.3">
      <c r="E694" s="57"/>
      <c r="G694" s="53"/>
      <c r="H694" s="54"/>
      <c r="I694" s="55"/>
    </row>
    <row r="695" spans="5:9" x14ac:dyDescent="0.3">
      <c r="E695" s="57"/>
      <c r="G695" s="53"/>
      <c r="H695" s="54"/>
      <c r="I695" s="55"/>
    </row>
    <row r="696" spans="5:9" x14ac:dyDescent="0.3">
      <c r="E696" s="57"/>
      <c r="G696" s="53"/>
      <c r="H696" s="54"/>
      <c r="I696" s="55"/>
    </row>
    <row r="697" spans="5:9" x14ac:dyDescent="0.3">
      <c r="E697" s="57"/>
      <c r="G697" s="53"/>
      <c r="H697" s="54"/>
      <c r="I697" s="55"/>
    </row>
    <row r="698" spans="5:9" x14ac:dyDescent="0.3">
      <c r="E698" s="57"/>
      <c r="G698" s="53"/>
      <c r="H698" s="54"/>
      <c r="I698" s="55"/>
    </row>
    <row r="699" spans="5:9" x14ac:dyDescent="0.3">
      <c r="E699" s="57"/>
      <c r="G699" s="53"/>
      <c r="H699" s="54"/>
      <c r="I699" s="55"/>
    </row>
    <row r="700" spans="5:9" x14ac:dyDescent="0.3">
      <c r="E700" s="57"/>
      <c r="G700" s="53"/>
      <c r="H700" s="54"/>
      <c r="I700" s="55"/>
    </row>
    <row r="701" spans="5:9" x14ac:dyDescent="0.3">
      <c r="E701" s="57"/>
      <c r="G701" s="53"/>
      <c r="H701" s="54"/>
      <c r="I701" s="55"/>
    </row>
    <row r="702" spans="5:9" x14ac:dyDescent="0.3">
      <c r="E702" s="57"/>
      <c r="G702" s="53"/>
      <c r="H702" s="54"/>
      <c r="I702" s="55"/>
    </row>
    <row r="703" spans="5:9" x14ac:dyDescent="0.3">
      <c r="E703" s="57"/>
      <c r="G703" s="53"/>
      <c r="H703" s="54"/>
      <c r="I703" s="55"/>
    </row>
    <row r="704" spans="5:9" x14ac:dyDescent="0.3">
      <c r="E704" s="57"/>
      <c r="G704" s="53"/>
      <c r="H704" s="54"/>
      <c r="I704" s="55"/>
    </row>
    <row r="705" spans="5:9" x14ac:dyDescent="0.3">
      <c r="E705" s="57"/>
      <c r="G705" s="53"/>
      <c r="H705" s="54"/>
      <c r="I705" s="55"/>
    </row>
    <row r="706" spans="5:9" x14ac:dyDescent="0.3">
      <c r="E706" s="57"/>
      <c r="G706" s="53"/>
      <c r="H706" s="54"/>
      <c r="I706" s="55"/>
    </row>
    <row r="707" spans="5:9" x14ac:dyDescent="0.3">
      <c r="E707" s="57"/>
      <c r="G707" s="53"/>
      <c r="H707" s="54"/>
      <c r="I707" s="55"/>
    </row>
    <row r="708" spans="5:9" x14ac:dyDescent="0.3">
      <c r="E708" s="57"/>
      <c r="G708" s="53"/>
      <c r="H708" s="54"/>
      <c r="I708" s="55"/>
    </row>
    <row r="709" spans="5:9" x14ac:dyDescent="0.3">
      <c r="E709" s="57"/>
      <c r="G709" s="53"/>
      <c r="H709" s="54"/>
      <c r="I709" s="55"/>
    </row>
    <row r="710" spans="5:9" x14ac:dyDescent="0.3">
      <c r="E710" s="57"/>
      <c r="G710" s="53"/>
      <c r="H710" s="54"/>
      <c r="I710" s="55"/>
    </row>
    <row r="711" spans="5:9" x14ac:dyDescent="0.3">
      <c r="E711" s="57"/>
      <c r="G711" s="53"/>
      <c r="H711" s="54"/>
      <c r="I711" s="55"/>
    </row>
    <row r="712" spans="5:9" x14ac:dyDescent="0.3">
      <c r="E712" s="57"/>
      <c r="G712" s="53"/>
      <c r="H712" s="54"/>
      <c r="I712" s="55"/>
    </row>
    <row r="713" spans="5:9" x14ac:dyDescent="0.3">
      <c r="E713" s="57"/>
      <c r="G713" s="53"/>
      <c r="H713" s="54"/>
      <c r="I713" s="55"/>
    </row>
    <row r="714" spans="5:9" x14ac:dyDescent="0.3">
      <c r="E714" s="57"/>
      <c r="G714" s="53"/>
      <c r="H714" s="54"/>
      <c r="I714" s="55"/>
    </row>
    <row r="715" spans="5:9" x14ac:dyDescent="0.3">
      <c r="E715" s="57"/>
      <c r="G715" s="53"/>
      <c r="H715" s="54"/>
      <c r="I715" s="55"/>
    </row>
    <row r="716" spans="5:9" x14ac:dyDescent="0.3">
      <c r="E716" s="57"/>
      <c r="G716" s="53"/>
      <c r="H716" s="54"/>
      <c r="I716" s="55"/>
    </row>
    <row r="717" spans="5:9" x14ac:dyDescent="0.3">
      <c r="E717" s="57"/>
      <c r="G717" s="53"/>
      <c r="H717" s="54"/>
      <c r="I717" s="55"/>
    </row>
    <row r="718" spans="5:9" x14ac:dyDescent="0.3">
      <c r="E718" s="57"/>
      <c r="G718" s="53"/>
      <c r="H718" s="54"/>
      <c r="I718" s="55"/>
    </row>
    <row r="719" spans="5:9" x14ac:dyDescent="0.3">
      <c r="E719" s="57"/>
      <c r="G719" s="53"/>
      <c r="H719" s="54"/>
      <c r="I719" s="55"/>
    </row>
    <row r="720" spans="5:9" x14ac:dyDescent="0.3">
      <c r="E720" s="57"/>
      <c r="G720" s="53"/>
      <c r="H720" s="54"/>
      <c r="I720" s="55"/>
    </row>
    <row r="721" spans="5:9" x14ac:dyDescent="0.3">
      <c r="E721" s="57"/>
      <c r="G721" s="53"/>
      <c r="H721" s="54"/>
      <c r="I721" s="55"/>
    </row>
    <row r="722" spans="5:9" x14ac:dyDescent="0.3">
      <c r="E722" s="57"/>
      <c r="G722" s="53"/>
      <c r="H722" s="54"/>
      <c r="I722" s="55"/>
    </row>
    <row r="723" spans="5:9" x14ac:dyDescent="0.3">
      <c r="E723" s="57"/>
      <c r="G723" s="53"/>
      <c r="H723" s="54"/>
      <c r="I723" s="55"/>
    </row>
    <row r="724" spans="5:9" x14ac:dyDescent="0.3">
      <c r="E724" s="57"/>
      <c r="G724" s="53"/>
      <c r="H724" s="54"/>
      <c r="I724" s="55"/>
    </row>
    <row r="725" spans="5:9" x14ac:dyDescent="0.3">
      <c r="E725" s="57"/>
      <c r="G725" s="53"/>
      <c r="H725" s="54"/>
      <c r="I725" s="55"/>
    </row>
    <row r="726" spans="5:9" x14ac:dyDescent="0.3">
      <c r="E726" s="57"/>
      <c r="G726" s="53"/>
      <c r="H726" s="54"/>
      <c r="I726" s="55"/>
    </row>
    <row r="727" spans="5:9" x14ac:dyDescent="0.3">
      <c r="E727" s="57"/>
      <c r="G727" s="53"/>
      <c r="H727" s="54"/>
      <c r="I727" s="55"/>
    </row>
    <row r="728" spans="5:9" x14ac:dyDescent="0.3">
      <c r="E728" s="57"/>
      <c r="G728" s="53"/>
      <c r="H728" s="54"/>
      <c r="I728" s="55"/>
    </row>
    <row r="729" spans="5:9" x14ac:dyDescent="0.3">
      <c r="E729" s="57"/>
      <c r="G729" s="53"/>
      <c r="H729" s="54"/>
      <c r="I729" s="55"/>
    </row>
    <row r="730" spans="5:9" x14ac:dyDescent="0.3">
      <c r="E730" s="57"/>
      <c r="G730" s="53"/>
      <c r="H730" s="54"/>
      <c r="I730" s="55"/>
    </row>
    <row r="731" spans="5:9" x14ac:dyDescent="0.3">
      <c r="E731" s="57"/>
      <c r="G731" s="53"/>
      <c r="H731" s="54"/>
      <c r="I731" s="55"/>
    </row>
    <row r="732" spans="5:9" x14ac:dyDescent="0.3">
      <c r="E732" s="57"/>
      <c r="G732" s="53"/>
      <c r="H732" s="54"/>
      <c r="I732" s="55"/>
    </row>
    <row r="733" spans="5:9" x14ac:dyDescent="0.3">
      <c r="E733" s="57"/>
      <c r="G733" s="53"/>
      <c r="H733" s="54"/>
      <c r="I733" s="55"/>
    </row>
    <row r="734" spans="5:9" x14ac:dyDescent="0.3">
      <c r="E734" s="57"/>
      <c r="G734" s="53"/>
      <c r="H734" s="54"/>
      <c r="I734" s="55"/>
    </row>
    <row r="735" spans="5:9" x14ac:dyDescent="0.3">
      <c r="E735" s="57"/>
      <c r="G735" s="53"/>
      <c r="H735" s="54"/>
      <c r="I735" s="55"/>
    </row>
    <row r="736" spans="5:9" x14ac:dyDescent="0.3">
      <c r="E736" s="57"/>
      <c r="G736" s="53"/>
      <c r="H736" s="54"/>
      <c r="I736" s="55"/>
    </row>
    <row r="737" spans="5:9" x14ac:dyDescent="0.3">
      <c r="E737" s="57"/>
      <c r="G737" s="53"/>
      <c r="H737" s="54"/>
      <c r="I737" s="55"/>
    </row>
    <row r="738" spans="5:9" x14ac:dyDescent="0.3">
      <c r="E738" s="57"/>
      <c r="G738" s="53"/>
      <c r="H738" s="54"/>
      <c r="I738" s="55"/>
    </row>
    <row r="739" spans="5:9" x14ac:dyDescent="0.3">
      <c r="E739" s="57"/>
      <c r="G739" s="53"/>
      <c r="H739" s="54"/>
      <c r="I739" s="55"/>
    </row>
    <row r="740" spans="5:9" x14ac:dyDescent="0.3">
      <c r="E740" s="57"/>
      <c r="G740" s="53"/>
      <c r="H740" s="54"/>
      <c r="I740" s="55"/>
    </row>
    <row r="741" spans="5:9" x14ac:dyDescent="0.3">
      <c r="E741" s="57"/>
      <c r="G741" s="53"/>
      <c r="H741" s="54"/>
      <c r="I741" s="55"/>
    </row>
    <row r="742" spans="5:9" x14ac:dyDescent="0.3">
      <c r="E742" s="57"/>
      <c r="G742" s="53"/>
      <c r="H742" s="54"/>
      <c r="I742" s="55"/>
    </row>
    <row r="743" spans="5:9" x14ac:dyDescent="0.3">
      <c r="E743" s="57"/>
      <c r="G743" s="53"/>
      <c r="H743" s="54"/>
      <c r="I743" s="55"/>
    </row>
    <row r="744" spans="5:9" x14ac:dyDescent="0.3">
      <c r="E744" s="57"/>
      <c r="G744" s="53"/>
      <c r="H744" s="54"/>
      <c r="I744" s="55"/>
    </row>
    <row r="745" spans="5:9" x14ac:dyDescent="0.3">
      <c r="E745" s="57"/>
      <c r="G745" s="53"/>
      <c r="H745" s="54"/>
      <c r="I745" s="55"/>
    </row>
    <row r="746" spans="5:9" x14ac:dyDescent="0.3">
      <c r="E746" s="57"/>
      <c r="G746" s="53"/>
      <c r="H746" s="54"/>
      <c r="I746" s="55"/>
    </row>
    <row r="747" spans="5:9" x14ac:dyDescent="0.3">
      <c r="E747" s="57"/>
      <c r="G747" s="53"/>
      <c r="H747" s="54"/>
      <c r="I747" s="55"/>
    </row>
    <row r="748" spans="5:9" x14ac:dyDescent="0.3">
      <c r="E748" s="57"/>
      <c r="G748" s="53"/>
      <c r="H748" s="54"/>
      <c r="I748" s="55"/>
    </row>
    <row r="749" spans="5:9" x14ac:dyDescent="0.3">
      <c r="E749" s="57"/>
      <c r="G749" s="53"/>
      <c r="H749" s="54"/>
      <c r="I749" s="55"/>
    </row>
    <row r="750" spans="5:9" x14ac:dyDescent="0.3">
      <c r="E750" s="57"/>
      <c r="G750" s="53"/>
      <c r="H750" s="54"/>
      <c r="I750" s="55"/>
    </row>
    <row r="751" spans="5:9" x14ac:dyDescent="0.3">
      <c r="E751" s="57"/>
      <c r="G751" s="53"/>
      <c r="H751" s="54"/>
      <c r="I751" s="55"/>
    </row>
    <row r="752" spans="5:9" x14ac:dyDescent="0.3">
      <c r="E752" s="57"/>
      <c r="G752" s="53"/>
      <c r="H752" s="54"/>
      <c r="I752" s="55"/>
    </row>
    <row r="753" spans="5:9" x14ac:dyDescent="0.3">
      <c r="E753" s="57"/>
      <c r="G753" s="53"/>
      <c r="H753" s="54"/>
      <c r="I753" s="55"/>
    </row>
    <row r="754" spans="5:9" x14ac:dyDescent="0.3">
      <c r="E754" s="57"/>
      <c r="G754" s="53"/>
      <c r="H754" s="54"/>
      <c r="I754" s="55"/>
    </row>
    <row r="755" spans="5:9" x14ac:dyDescent="0.3">
      <c r="E755" s="57"/>
      <c r="G755" s="53"/>
      <c r="H755" s="54"/>
      <c r="I755" s="55"/>
    </row>
    <row r="756" spans="5:9" x14ac:dyDescent="0.3">
      <c r="E756" s="57"/>
      <c r="G756" s="53"/>
      <c r="H756" s="54"/>
      <c r="I756" s="55"/>
    </row>
    <row r="757" spans="5:9" x14ac:dyDescent="0.3">
      <c r="E757" s="57"/>
      <c r="G757" s="53"/>
      <c r="H757" s="54"/>
      <c r="I757" s="55"/>
    </row>
    <row r="758" spans="5:9" x14ac:dyDescent="0.3">
      <c r="E758" s="57"/>
      <c r="G758" s="53"/>
      <c r="H758" s="54"/>
      <c r="I758" s="55"/>
    </row>
    <row r="759" spans="5:9" x14ac:dyDescent="0.3">
      <c r="E759" s="57"/>
      <c r="G759" s="53"/>
      <c r="H759" s="54"/>
      <c r="I759" s="55"/>
    </row>
    <row r="760" spans="5:9" x14ac:dyDescent="0.3">
      <c r="E760" s="57"/>
      <c r="G760" s="53"/>
      <c r="H760" s="54"/>
      <c r="I760" s="55"/>
    </row>
    <row r="761" spans="5:9" x14ac:dyDescent="0.3">
      <c r="E761" s="57"/>
      <c r="G761" s="53"/>
      <c r="H761" s="54"/>
      <c r="I761" s="55"/>
    </row>
    <row r="762" spans="5:9" x14ac:dyDescent="0.3">
      <c r="E762" s="57"/>
      <c r="G762" s="53"/>
      <c r="H762" s="54"/>
      <c r="I762" s="55"/>
    </row>
    <row r="763" spans="5:9" x14ac:dyDescent="0.3">
      <c r="E763" s="57"/>
      <c r="G763" s="53"/>
      <c r="H763" s="54"/>
      <c r="I763" s="55"/>
    </row>
    <row r="764" spans="5:9" x14ac:dyDescent="0.3">
      <c r="E764" s="57"/>
      <c r="G764" s="53"/>
      <c r="H764" s="54"/>
      <c r="I764" s="55"/>
    </row>
    <row r="765" spans="5:9" x14ac:dyDescent="0.3">
      <c r="E765" s="57"/>
      <c r="G765" s="53"/>
      <c r="H765" s="54"/>
      <c r="I765" s="55"/>
    </row>
    <row r="766" spans="5:9" x14ac:dyDescent="0.3">
      <c r="E766" s="57"/>
      <c r="G766" s="53"/>
      <c r="H766" s="54"/>
      <c r="I766" s="55"/>
    </row>
    <row r="767" spans="5:9" x14ac:dyDescent="0.3">
      <c r="E767" s="57"/>
      <c r="G767" s="53"/>
      <c r="H767" s="54"/>
      <c r="I767" s="55"/>
    </row>
    <row r="768" spans="5:9" x14ac:dyDescent="0.3">
      <c r="E768" s="57"/>
      <c r="G768" s="53"/>
      <c r="H768" s="54"/>
      <c r="I768" s="55"/>
    </row>
    <row r="769" spans="5:9" x14ac:dyDescent="0.3">
      <c r="E769" s="57"/>
      <c r="G769" s="53"/>
      <c r="H769" s="54"/>
      <c r="I769" s="55"/>
    </row>
    <row r="770" spans="5:9" x14ac:dyDescent="0.3">
      <c r="E770" s="57"/>
      <c r="G770" s="53"/>
      <c r="H770" s="54"/>
      <c r="I770" s="55"/>
    </row>
    <row r="771" spans="5:9" x14ac:dyDescent="0.3">
      <c r="E771" s="57"/>
      <c r="G771" s="53"/>
      <c r="H771" s="54"/>
      <c r="I771" s="55"/>
    </row>
    <row r="772" spans="5:9" x14ac:dyDescent="0.3">
      <c r="E772" s="57"/>
      <c r="G772" s="53"/>
      <c r="H772" s="54"/>
      <c r="I772" s="55"/>
    </row>
    <row r="773" spans="5:9" x14ac:dyDescent="0.3">
      <c r="E773" s="57"/>
      <c r="G773" s="53"/>
      <c r="H773" s="54"/>
      <c r="I773" s="55"/>
    </row>
    <row r="774" spans="5:9" x14ac:dyDescent="0.3">
      <c r="E774" s="57"/>
      <c r="G774" s="53"/>
      <c r="H774" s="54"/>
      <c r="I774" s="55"/>
    </row>
    <row r="775" spans="5:9" x14ac:dyDescent="0.3">
      <c r="E775" s="57"/>
      <c r="G775" s="53"/>
      <c r="H775" s="54"/>
      <c r="I775" s="55"/>
    </row>
    <row r="776" spans="5:9" x14ac:dyDescent="0.3">
      <c r="E776" s="57"/>
      <c r="G776" s="53"/>
      <c r="H776" s="54"/>
      <c r="I776" s="55"/>
    </row>
    <row r="777" spans="5:9" x14ac:dyDescent="0.3">
      <c r="E777" s="57"/>
      <c r="G777" s="53"/>
      <c r="H777" s="54"/>
      <c r="I777" s="55"/>
    </row>
    <row r="778" spans="5:9" x14ac:dyDescent="0.3">
      <c r="E778" s="57"/>
      <c r="G778" s="53"/>
      <c r="H778" s="54"/>
      <c r="I778" s="55"/>
    </row>
    <row r="779" spans="5:9" x14ac:dyDescent="0.3">
      <c r="E779" s="57"/>
      <c r="G779" s="53"/>
      <c r="H779" s="54"/>
      <c r="I779" s="55"/>
    </row>
    <row r="780" spans="5:9" x14ac:dyDescent="0.3">
      <c r="E780" s="57"/>
      <c r="G780" s="53"/>
      <c r="H780" s="54"/>
      <c r="I780" s="55"/>
    </row>
    <row r="781" spans="5:9" x14ac:dyDescent="0.3">
      <c r="E781" s="57"/>
      <c r="G781" s="53"/>
      <c r="H781" s="54"/>
      <c r="I781" s="55"/>
    </row>
    <row r="782" spans="5:9" x14ac:dyDescent="0.3">
      <c r="E782" s="57"/>
      <c r="G782" s="53"/>
      <c r="H782" s="54"/>
      <c r="I782" s="55"/>
    </row>
    <row r="783" spans="5:9" x14ac:dyDescent="0.3">
      <c r="E783" s="57"/>
      <c r="G783" s="53"/>
      <c r="H783" s="54"/>
      <c r="I783" s="55"/>
    </row>
    <row r="784" spans="5:9" x14ac:dyDescent="0.3">
      <c r="E784" s="57"/>
      <c r="G784" s="53"/>
      <c r="H784" s="54"/>
      <c r="I784" s="55"/>
    </row>
    <row r="785" spans="5:9" x14ac:dyDescent="0.3">
      <c r="E785" s="57"/>
      <c r="G785" s="53"/>
      <c r="H785" s="54"/>
      <c r="I785" s="55"/>
    </row>
    <row r="786" spans="5:9" x14ac:dyDescent="0.3">
      <c r="E786" s="57"/>
      <c r="G786" s="53"/>
      <c r="H786" s="54"/>
      <c r="I786" s="55"/>
    </row>
    <row r="787" spans="5:9" x14ac:dyDescent="0.3">
      <c r="E787" s="57"/>
      <c r="G787" s="53"/>
      <c r="H787" s="54"/>
      <c r="I787" s="55"/>
    </row>
    <row r="788" spans="5:9" x14ac:dyDescent="0.3">
      <c r="E788" s="57"/>
      <c r="G788" s="53"/>
      <c r="H788" s="54"/>
      <c r="I788" s="55"/>
    </row>
    <row r="789" spans="5:9" x14ac:dyDescent="0.3">
      <c r="E789" s="57"/>
      <c r="G789" s="53"/>
      <c r="H789" s="54"/>
      <c r="I789" s="55"/>
    </row>
    <row r="790" spans="5:9" x14ac:dyDescent="0.3">
      <c r="E790" s="57"/>
      <c r="G790" s="53"/>
      <c r="H790" s="54"/>
      <c r="I790" s="55"/>
    </row>
    <row r="791" spans="5:9" x14ac:dyDescent="0.3">
      <c r="E791" s="57"/>
      <c r="G791" s="53"/>
      <c r="H791" s="54"/>
      <c r="I791" s="55"/>
    </row>
    <row r="792" spans="5:9" x14ac:dyDescent="0.3">
      <c r="E792" s="57"/>
      <c r="G792" s="53"/>
      <c r="H792" s="54"/>
      <c r="I792" s="55"/>
    </row>
    <row r="793" spans="5:9" x14ac:dyDescent="0.3">
      <c r="E793" s="57"/>
      <c r="G793" s="53"/>
      <c r="H793" s="54"/>
      <c r="I793" s="55"/>
    </row>
    <row r="794" spans="5:9" x14ac:dyDescent="0.3">
      <c r="E794" s="57"/>
      <c r="G794" s="53"/>
      <c r="H794" s="54"/>
      <c r="I794" s="55"/>
    </row>
    <row r="795" spans="5:9" x14ac:dyDescent="0.3">
      <c r="E795" s="57"/>
      <c r="G795" s="53"/>
      <c r="H795" s="54"/>
      <c r="I795" s="55"/>
    </row>
    <row r="796" spans="5:9" x14ac:dyDescent="0.3">
      <c r="E796" s="57"/>
      <c r="G796" s="53"/>
      <c r="H796" s="54"/>
      <c r="I796" s="55"/>
    </row>
    <row r="797" spans="5:9" x14ac:dyDescent="0.3">
      <c r="E797" s="57"/>
      <c r="G797" s="53"/>
      <c r="H797" s="54"/>
      <c r="I797" s="55"/>
    </row>
    <row r="798" spans="5:9" x14ac:dyDescent="0.3">
      <c r="E798" s="57"/>
      <c r="G798" s="53"/>
      <c r="H798" s="54"/>
      <c r="I798" s="55"/>
    </row>
    <row r="799" spans="5:9" x14ac:dyDescent="0.3">
      <c r="E799" s="57"/>
      <c r="G799" s="53"/>
      <c r="H799" s="54"/>
      <c r="I799" s="55"/>
    </row>
    <row r="800" spans="5:9" x14ac:dyDescent="0.3">
      <c r="E800" s="57"/>
      <c r="G800" s="53"/>
      <c r="H800" s="54"/>
      <c r="I800" s="55"/>
    </row>
    <row r="801" spans="5:9" x14ac:dyDescent="0.3">
      <c r="E801" s="57"/>
      <c r="G801" s="53"/>
      <c r="H801" s="54"/>
      <c r="I801" s="55"/>
    </row>
    <row r="802" spans="5:9" x14ac:dyDescent="0.3">
      <c r="E802" s="57"/>
      <c r="G802" s="53"/>
      <c r="H802" s="54"/>
      <c r="I802" s="55"/>
    </row>
    <row r="803" spans="5:9" x14ac:dyDescent="0.3">
      <c r="E803" s="57"/>
      <c r="G803" s="53"/>
      <c r="H803" s="54"/>
      <c r="I803" s="55"/>
    </row>
    <row r="804" spans="5:9" x14ac:dyDescent="0.3">
      <c r="G804" s="53"/>
      <c r="H804" s="54"/>
      <c r="I804" s="55"/>
    </row>
    <row r="805" spans="5:9" x14ac:dyDescent="0.3">
      <c r="G805" s="53"/>
      <c r="H805" s="54"/>
      <c r="I805" s="55"/>
    </row>
    <row r="806" spans="5:9" x14ac:dyDescent="0.3">
      <c r="G806" s="53"/>
      <c r="H806" s="54"/>
      <c r="I806" s="55"/>
    </row>
    <row r="807" spans="5:9" x14ac:dyDescent="0.3">
      <c r="G807" s="53"/>
      <c r="H807" s="54"/>
      <c r="I807" s="55"/>
    </row>
    <row r="808" spans="5:9" x14ac:dyDescent="0.3">
      <c r="G808" s="53"/>
      <c r="H808" s="54"/>
      <c r="I808" s="55"/>
    </row>
    <row r="809" spans="5:9" x14ac:dyDescent="0.3">
      <c r="G809" s="53"/>
      <c r="H809" s="54"/>
      <c r="I809" s="55"/>
    </row>
    <row r="810" spans="5:9" x14ac:dyDescent="0.3">
      <c r="G810" s="53"/>
      <c r="H810" s="54"/>
      <c r="I810" s="55"/>
    </row>
    <row r="811" spans="5:9" x14ac:dyDescent="0.3">
      <c r="G811" s="53"/>
      <c r="H811" s="54"/>
      <c r="I811" s="55"/>
    </row>
    <row r="812" spans="5:9" x14ac:dyDescent="0.3">
      <c r="G812" s="53"/>
      <c r="H812" s="54"/>
      <c r="I812" s="55"/>
    </row>
    <row r="813" spans="5:9" x14ac:dyDescent="0.3">
      <c r="G813" s="53"/>
      <c r="H813" s="54"/>
      <c r="I813" s="55"/>
    </row>
    <row r="814" spans="5:9" x14ac:dyDescent="0.3">
      <c r="G814" s="53"/>
      <c r="H814" s="54"/>
      <c r="I814" s="55"/>
    </row>
    <row r="815" spans="5:9" x14ac:dyDescent="0.3">
      <c r="G815" s="53"/>
      <c r="H815" s="54"/>
      <c r="I815" s="55"/>
    </row>
    <row r="816" spans="5:9" x14ac:dyDescent="0.3">
      <c r="G816" s="53"/>
      <c r="H816" s="54"/>
      <c r="I816" s="55"/>
    </row>
    <row r="817" spans="7:9" x14ac:dyDescent="0.3">
      <c r="G817" s="53"/>
      <c r="H817" s="54"/>
      <c r="I817" s="55"/>
    </row>
    <row r="818" spans="7:9" x14ac:dyDescent="0.3">
      <c r="G818" s="53"/>
      <c r="H818" s="54"/>
      <c r="I818" s="55"/>
    </row>
    <row r="819" spans="7:9" x14ac:dyDescent="0.3">
      <c r="G819" s="53"/>
      <c r="H819" s="54"/>
      <c r="I819" s="55"/>
    </row>
    <row r="820" spans="7:9" x14ac:dyDescent="0.3">
      <c r="G820" s="53"/>
      <c r="H820" s="54"/>
      <c r="I820" s="55"/>
    </row>
    <row r="821" spans="7:9" x14ac:dyDescent="0.3">
      <c r="G821" s="53"/>
      <c r="H821" s="54"/>
      <c r="I821" s="55"/>
    </row>
    <row r="822" spans="7:9" x14ac:dyDescent="0.3">
      <c r="G822" s="53"/>
      <c r="H822" s="54"/>
      <c r="I822" s="55"/>
    </row>
    <row r="823" spans="7:9" x14ac:dyDescent="0.3">
      <c r="G823" s="53"/>
      <c r="H823" s="54"/>
      <c r="I823" s="55"/>
    </row>
    <row r="824" spans="7:9" x14ac:dyDescent="0.3">
      <c r="G824" s="53"/>
      <c r="H824" s="54"/>
      <c r="I824" s="55"/>
    </row>
    <row r="825" spans="7:9" x14ac:dyDescent="0.3">
      <c r="G825" s="53"/>
      <c r="H825" s="54"/>
      <c r="I825" s="55"/>
    </row>
    <row r="826" spans="7:9" x14ac:dyDescent="0.3">
      <c r="G826" s="53"/>
      <c r="H826" s="54"/>
      <c r="I826" s="55"/>
    </row>
    <row r="827" spans="7:9" x14ac:dyDescent="0.3">
      <c r="G827" s="53"/>
      <c r="H827" s="54"/>
      <c r="I827" s="55"/>
    </row>
    <row r="828" spans="7:9" x14ac:dyDescent="0.3">
      <c r="G828" s="53"/>
      <c r="H828" s="54"/>
      <c r="I828" s="55"/>
    </row>
    <row r="829" spans="7:9" x14ac:dyDescent="0.3">
      <c r="G829" s="53"/>
      <c r="H829" s="54"/>
      <c r="I829" s="55"/>
    </row>
    <row r="830" spans="7:9" x14ac:dyDescent="0.3">
      <c r="G830" s="53"/>
      <c r="H830" s="54"/>
      <c r="I830" s="55"/>
    </row>
    <row r="831" spans="7:9" x14ac:dyDescent="0.3">
      <c r="G831" s="53"/>
      <c r="H831" s="54"/>
      <c r="I831" s="55"/>
    </row>
    <row r="832" spans="7:9" x14ac:dyDescent="0.3">
      <c r="G832" s="53"/>
      <c r="H832" s="54"/>
      <c r="I832" s="55"/>
    </row>
    <row r="833" spans="7:9" x14ac:dyDescent="0.3">
      <c r="G833" s="53"/>
      <c r="H833" s="54"/>
      <c r="I833" s="55"/>
    </row>
    <row r="834" spans="7:9" x14ac:dyDescent="0.3">
      <c r="G834" s="53"/>
      <c r="H834" s="54"/>
      <c r="I834" s="55"/>
    </row>
    <row r="835" spans="7:9" x14ac:dyDescent="0.3">
      <c r="G835" s="53"/>
      <c r="H835" s="54"/>
      <c r="I835" s="55"/>
    </row>
    <row r="836" spans="7:9" x14ac:dyDescent="0.3">
      <c r="G836" s="53"/>
      <c r="H836" s="54"/>
      <c r="I836" s="55"/>
    </row>
    <row r="837" spans="7:9" x14ac:dyDescent="0.3">
      <c r="G837" s="53"/>
      <c r="H837" s="54"/>
      <c r="I837" s="55"/>
    </row>
    <row r="838" spans="7:9" x14ac:dyDescent="0.3">
      <c r="G838" s="53"/>
      <c r="H838" s="54"/>
      <c r="I838" s="55"/>
    </row>
    <row r="839" spans="7:9" x14ac:dyDescent="0.3">
      <c r="G839" s="53"/>
      <c r="H839" s="54"/>
      <c r="I839" s="55"/>
    </row>
    <row r="840" spans="7:9" x14ac:dyDescent="0.3">
      <c r="G840" s="53"/>
      <c r="H840" s="54"/>
      <c r="I840" s="55"/>
    </row>
    <row r="841" spans="7:9" x14ac:dyDescent="0.3">
      <c r="G841" s="53"/>
      <c r="H841" s="54"/>
      <c r="I841" s="55"/>
    </row>
    <row r="842" spans="7:9" x14ac:dyDescent="0.3">
      <c r="G842" s="53"/>
      <c r="H842" s="54"/>
      <c r="I842" s="55"/>
    </row>
    <row r="843" spans="7:9" x14ac:dyDescent="0.3">
      <c r="G843" s="53"/>
      <c r="H843" s="54"/>
      <c r="I843" s="55"/>
    </row>
    <row r="844" spans="7:9" x14ac:dyDescent="0.3">
      <c r="G844" s="53"/>
      <c r="H844" s="54"/>
      <c r="I844" s="55"/>
    </row>
    <row r="845" spans="7:9" x14ac:dyDescent="0.3">
      <c r="G845" s="53"/>
      <c r="H845" s="54"/>
      <c r="I845" s="55"/>
    </row>
    <row r="846" spans="7:9" x14ac:dyDescent="0.3">
      <c r="G846" s="53"/>
      <c r="H846" s="54"/>
      <c r="I846" s="55"/>
    </row>
    <row r="847" spans="7:9" x14ac:dyDescent="0.3">
      <c r="G847" s="53"/>
      <c r="H847" s="54"/>
      <c r="I847" s="55"/>
    </row>
    <row r="848" spans="7:9" x14ac:dyDescent="0.3">
      <c r="G848" s="53"/>
      <c r="H848" s="54"/>
      <c r="I848" s="55"/>
    </row>
    <row r="849" spans="7:9" x14ac:dyDescent="0.3">
      <c r="G849" s="53"/>
      <c r="H849" s="54"/>
      <c r="I849" s="55"/>
    </row>
    <row r="850" spans="7:9" x14ac:dyDescent="0.3">
      <c r="G850" s="53"/>
      <c r="H850" s="54"/>
      <c r="I850" s="55"/>
    </row>
    <row r="851" spans="7:9" x14ac:dyDescent="0.3">
      <c r="G851" s="53"/>
      <c r="H851" s="54"/>
      <c r="I851" s="55"/>
    </row>
    <row r="852" spans="7:9" x14ac:dyDescent="0.3">
      <c r="G852" s="53"/>
      <c r="H852" s="54"/>
      <c r="I852" s="55"/>
    </row>
    <row r="853" spans="7:9" x14ac:dyDescent="0.3">
      <c r="G853" s="53"/>
      <c r="H853" s="54"/>
      <c r="I853" s="55"/>
    </row>
    <row r="854" spans="7:9" x14ac:dyDescent="0.3">
      <c r="G854" s="53"/>
      <c r="H854" s="54"/>
      <c r="I854" s="55"/>
    </row>
    <row r="855" spans="7:9" x14ac:dyDescent="0.3">
      <c r="G855" s="53"/>
      <c r="H855" s="54"/>
      <c r="I855" s="55"/>
    </row>
    <row r="856" spans="7:9" x14ac:dyDescent="0.3">
      <c r="G856" s="53"/>
      <c r="H856" s="54"/>
      <c r="I856" s="55"/>
    </row>
    <row r="857" spans="7:9" x14ac:dyDescent="0.3">
      <c r="G857" s="53"/>
      <c r="H857" s="54"/>
      <c r="I857" s="55"/>
    </row>
    <row r="858" spans="7:9" x14ac:dyDescent="0.3">
      <c r="G858" s="53"/>
      <c r="H858" s="54"/>
      <c r="I858" s="55"/>
    </row>
    <row r="859" spans="7:9" x14ac:dyDescent="0.3">
      <c r="G859" s="53"/>
      <c r="H859" s="54"/>
      <c r="I859" s="55"/>
    </row>
    <row r="860" spans="7:9" x14ac:dyDescent="0.3">
      <c r="G860" s="53"/>
      <c r="H860" s="54"/>
      <c r="I860" s="55"/>
    </row>
    <row r="861" spans="7:9" x14ac:dyDescent="0.3">
      <c r="G861" s="53"/>
      <c r="H861" s="54"/>
      <c r="I861" s="55"/>
    </row>
    <row r="862" spans="7:9" x14ac:dyDescent="0.3">
      <c r="G862" s="53"/>
      <c r="H862" s="54"/>
      <c r="I862" s="55"/>
    </row>
    <row r="863" spans="7:9" x14ac:dyDescent="0.3">
      <c r="G863" s="53"/>
      <c r="H863" s="54"/>
      <c r="I863" s="55"/>
    </row>
    <row r="864" spans="7:9" x14ac:dyDescent="0.3">
      <c r="G864" s="53"/>
      <c r="H864" s="54"/>
      <c r="I864" s="55"/>
    </row>
    <row r="865" spans="7:9" x14ac:dyDescent="0.3">
      <c r="G865" s="53"/>
      <c r="H865" s="54"/>
      <c r="I865" s="55"/>
    </row>
    <row r="866" spans="7:9" x14ac:dyDescent="0.3">
      <c r="G866" s="53"/>
      <c r="H866" s="54"/>
      <c r="I866" s="55"/>
    </row>
    <row r="867" spans="7:9" x14ac:dyDescent="0.3">
      <c r="G867" s="53"/>
      <c r="H867" s="54"/>
      <c r="I867" s="55"/>
    </row>
    <row r="868" spans="7:9" x14ac:dyDescent="0.3">
      <c r="G868" s="53"/>
      <c r="H868" s="54"/>
      <c r="I868" s="55"/>
    </row>
    <row r="869" spans="7:9" x14ac:dyDescent="0.3">
      <c r="G869" s="53"/>
      <c r="H869" s="54"/>
      <c r="I869" s="55"/>
    </row>
    <row r="870" spans="7:9" x14ac:dyDescent="0.3">
      <c r="G870" s="53"/>
      <c r="H870" s="54"/>
      <c r="I870" s="55"/>
    </row>
    <row r="871" spans="7:9" x14ac:dyDescent="0.3">
      <c r="G871" s="53"/>
      <c r="H871" s="54"/>
      <c r="I871" s="55"/>
    </row>
    <row r="872" spans="7:9" x14ac:dyDescent="0.3">
      <c r="G872" s="53"/>
      <c r="H872" s="54"/>
      <c r="I872" s="55"/>
    </row>
    <row r="873" spans="7:9" x14ac:dyDescent="0.3">
      <c r="G873" s="53"/>
      <c r="H873" s="54"/>
      <c r="I873" s="55"/>
    </row>
    <row r="874" spans="7:9" x14ac:dyDescent="0.3">
      <c r="G874" s="53"/>
      <c r="H874" s="54"/>
      <c r="I874" s="55"/>
    </row>
    <row r="875" spans="7:9" x14ac:dyDescent="0.3">
      <c r="G875" s="53"/>
      <c r="H875" s="54"/>
      <c r="I875" s="55"/>
    </row>
    <row r="876" spans="7:9" x14ac:dyDescent="0.3">
      <c r="G876" s="53"/>
      <c r="H876" s="54"/>
      <c r="I876" s="55"/>
    </row>
    <row r="877" spans="7:9" x14ac:dyDescent="0.3">
      <c r="G877" s="53"/>
      <c r="H877" s="54"/>
      <c r="I877" s="55"/>
    </row>
    <row r="878" spans="7:9" x14ac:dyDescent="0.3">
      <c r="G878" s="53"/>
      <c r="H878" s="54"/>
      <c r="I878" s="55"/>
    </row>
    <row r="879" spans="7:9" x14ac:dyDescent="0.3">
      <c r="G879" s="53"/>
      <c r="H879" s="54"/>
      <c r="I879" s="55"/>
    </row>
    <row r="880" spans="7:9" x14ac:dyDescent="0.3">
      <c r="G880" s="53"/>
      <c r="H880" s="54"/>
      <c r="I880" s="55"/>
    </row>
    <row r="881" spans="7:9" x14ac:dyDescent="0.3">
      <c r="G881" s="53"/>
      <c r="H881" s="54"/>
      <c r="I881" s="55"/>
    </row>
    <row r="882" spans="7:9" x14ac:dyDescent="0.3">
      <c r="G882" s="53"/>
      <c r="H882" s="54"/>
      <c r="I882" s="55"/>
    </row>
    <row r="883" spans="7:9" x14ac:dyDescent="0.3">
      <c r="G883" s="53"/>
      <c r="H883" s="54"/>
      <c r="I883" s="55"/>
    </row>
    <row r="884" spans="7:9" x14ac:dyDescent="0.3">
      <c r="G884" s="53"/>
      <c r="H884" s="54"/>
      <c r="I884" s="55"/>
    </row>
    <row r="885" spans="7:9" x14ac:dyDescent="0.3">
      <c r="G885" s="53"/>
      <c r="H885" s="54"/>
      <c r="I885" s="55"/>
    </row>
    <row r="886" spans="7:9" x14ac:dyDescent="0.3">
      <c r="G886" s="53"/>
      <c r="H886" s="54"/>
      <c r="I886" s="55"/>
    </row>
    <row r="887" spans="7:9" x14ac:dyDescent="0.3">
      <c r="G887" s="53"/>
      <c r="H887" s="54"/>
      <c r="I887" s="55"/>
    </row>
    <row r="888" spans="7:9" x14ac:dyDescent="0.3">
      <c r="G888" s="53"/>
      <c r="H888" s="54"/>
      <c r="I888" s="55"/>
    </row>
    <row r="889" spans="7:9" x14ac:dyDescent="0.3">
      <c r="G889" s="53"/>
      <c r="H889" s="54"/>
      <c r="I889" s="55"/>
    </row>
    <row r="890" spans="7:9" x14ac:dyDescent="0.3">
      <c r="G890" s="53"/>
      <c r="H890" s="54"/>
      <c r="I890" s="55"/>
    </row>
    <row r="891" spans="7:9" x14ac:dyDescent="0.3">
      <c r="G891" s="53"/>
      <c r="H891" s="54"/>
      <c r="I891" s="55"/>
    </row>
    <row r="892" spans="7:9" x14ac:dyDescent="0.3">
      <c r="G892" s="53"/>
      <c r="H892" s="54"/>
      <c r="I892" s="55"/>
    </row>
    <row r="893" spans="7:9" x14ac:dyDescent="0.3">
      <c r="G893" s="53"/>
      <c r="H893" s="54"/>
      <c r="I893" s="55"/>
    </row>
    <row r="894" spans="7:9" x14ac:dyDescent="0.3">
      <c r="G894" s="53"/>
      <c r="H894" s="54"/>
      <c r="I894" s="55"/>
    </row>
    <row r="895" spans="7:9" x14ac:dyDescent="0.3">
      <c r="G895" s="53"/>
      <c r="H895" s="54"/>
      <c r="I895" s="55"/>
    </row>
    <row r="896" spans="7:9" x14ac:dyDescent="0.3">
      <c r="G896" s="53"/>
      <c r="H896" s="54"/>
      <c r="I896" s="55"/>
    </row>
    <row r="897" spans="7:9" x14ac:dyDescent="0.3">
      <c r="G897" s="53"/>
      <c r="H897" s="54"/>
      <c r="I897" s="55"/>
    </row>
    <row r="898" spans="7:9" x14ac:dyDescent="0.3">
      <c r="G898" s="53"/>
      <c r="H898" s="54"/>
      <c r="I898" s="55"/>
    </row>
    <row r="899" spans="7:9" x14ac:dyDescent="0.3">
      <c r="G899" s="53"/>
      <c r="H899" s="54"/>
      <c r="I899" s="55"/>
    </row>
    <row r="900" spans="7:9" x14ac:dyDescent="0.3">
      <c r="G900" s="53"/>
      <c r="H900" s="54"/>
      <c r="I900" s="55"/>
    </row>
    <row r="901" spans="7:9" x14ac:dyDescent="0.3">
      <c r="G901" s="53"/>
      <c r="H901" s="54"/>
      <c r="I901" s="55"/>
    </row>
    <row r="902" spans="7:9" x14ac:dyDescent="0.3">
      <c r="G902" s="53"/>
      <c r="H902" s="54"/>
      <c r="I902" s="55"/>
    </row>
    <row r="903" spans="7:9" x14ac:dyDescent="0.3">
      <c r="G903" s="53"/>
      <c r="H903" s="54"/>
      <c r="I903" s="55"/>
    </row>
    <row r="904" spans="7:9" x14ac:dyDescent="0.3">
      <c r="G904" s="53"/>
      <c r="H904" s="54"/>
      <c r="I904" s="55"/>
    </row>
    <row r="905" spans="7:9" x14ac:dyDescent="0.3">
      <c r="G905" s="53"/>
      <c r="H905" s="54"/>
      <c r="I905" s="55"/>
    </row>
    <row r="906" spans="7:9" x14ac:dyDescent="0.3">
      <c r="G906" s="53"/>
      <c r="H906" s="54"/>
      <c r="I906" s="55"/>
    </row>
    <row r="907" spans="7:9" x14ac:dyDescent="0.3">
      <c r="G907" s="53"/>
      <c r="H907" s="54"/>
      <c r="I907" s="55"/>
    </row>
    <row r="908" spans="7:9" x14ac:dyDescent="0.3">
      <c r="G908" s="53"/>
      <c r="H908" s="54"/>
      <c r="I908" s="55"/>
    </row>
    <row r="909" spans="7:9" x14ac:dyDescent="0.3">
      <c r="G909" s="53"/>
      <c r="H909" s="54"/>
      <c r="I909" s="55"/>
    </row>
    <row r="910" spans="7:9" x14ac:dyDescent="0.3">
      <c r="G910" s="53"/>
      <c r="H910" s="54"/>
      <c r="I910" s="55"/>
    </row>
    <row r="911" spans="7:9" x14ac:dyDescent="0.3">
      <c r="G911" s="53"/>
      <c r="H911" s="54"/>
      <c r="I911" s="55"/>
    </row>
    <row r="912" spans="7:9" x14ac:dyDescent="0.3">
      <c r="G912" s="53"/>
      <c r="H912" s="54"/>
      <c r="I912" s="55"/>
    </row>
    <row r="913" spans="7:9" x14ac:dyDescent="0.3">
      <c r="G913" s="53"/>
      <c r="H913" s="54"/>
      <c r="I913" s="55"/>
    </row>
    <row r="914" spans="7:9" x14ac:dyDescent="0.3">
      <c r="G914" s="53"/>
      <c r="H914" s="54"/>
      <c r="I914" s="55"/>
    </row>
    <row r="915" spans="7:9" x14ac:dyDescent="0.3">
      <c r="G915" s="53"/>
      <c r="H915" s="54"/>
      <c r="I915" s="55"/>
    </row>
    <row r="916" spans="7:9" x14ac:dyDescent="0.3">
      <c r="G916" s="53"/>
      <c r="H916" s="54"/>
      <c r="I916" s="55"/>
    </row>
    <row r="917" spans="7:9" x14ac:dyDescent="0.3">
      <c r="G917" s="53"/>
      <c r="H917" s="54"/>
      <c r="I917" s="55"/>
    </row>
    <row r="918" spans="7:9" x14ac:dyDescent="0.3">
      <c r="G918" s="53"/>
      <c r="H918" s="54"/>
      <c r="I918" s="55"/>
    </row>
    <row r="919" spans="7:9" x14ac:dyDescent="0.3">
      <c r="G919" s="53"/>
      <c r="H919" s="54"/>
      <c r="I919" s="55"/>
    </row>
    <row r="920" spans="7:9" x14ac:dyDescent="0.3">
      <c r="G920" s="53"/>
      <c r="H920" s="54"/>
      <c r="I920" s="55"/>
    </row>
    <row r="921" spans="7:9" x14ac:dyDescent="0.3">
      <c r="G921" s="53"/>
      <c r="H921" s="54"/>
      <c r="I921" s="55"/>
    </row>
    <row r="922" spans="7:9" x14ac:dyDescent="0.3">
      <c r="G922" s="53"/>
      <c r="H922" s="54"/>
      <c r="I922" s="55"/>
    </row>
    <row r="923" spans="7:9" x14ac:dyDescent="0.3">
      <c r="G923" s="53"/>
      <c r="H923" s="54"/>
      <c r="I923" s="55"/>
    </row>
    <row r="924" spans="7:9" x14ac:dyDescent="0.3">
      <c r="G924" s="53"/>
      <c r="H924" s="54"/>
      <c r="I924" s="55"/>
    </row>
    <row r="925" spans="7:9" x14ac:dyDescent="0.3">
      <c r="G925" s="53"/>
      <c r="H925" s="54"/>
      <c r="I925" s="55"/>
    </row>
    <row r="926" spans="7:9" x14ac:dyDescent="0.3">
      <c r="G926" s="53"/>
      <c r="H926" s="54"/>
      <c r="I926" s="55"/>
    </row>
    <row r="927" spans="7:9" x14ac:dyDescent="0.3">
      <c r="G927" s="53"/>
      <c r="H927" s="54"/>
      <c r="I927" s="55"/>
    </row>
    <row r="928" spans="7:9" x14ac:dyDescent="0.3">
      <c r="G928" s="53"/>
      <c r="H928" s="54"/>
      <c r="I928" s="55"/>
    </row>
    <row r="929" spans="7:9" x14ac:dyDescent="0.3">
      <c r="G929" s="53"/>
      <c r="H929" s="54"/>
      <c r="I929" s="55"/>
    </row>
    <row r="930" spans="7:9" x14ac:dyDescent="0.3">
      <c r="G930" s="53"/>
      <c r="H930" s="54"/>
      <c r="I930" s="55"/>
    </row>
    <row r="931" spans="7:9" x14ac:dyDescent="0.3">
      <c r="G931" s="53"/>
      <c r="H931" s="54"/>
      <c r="I931" s="55"/>
    </row>
    <row r="932" spans="7:9" x14ac:dyDescent="0.3">
      <c r="G932" s="53"/>
      <c r="H932" s="54"/>
      <c r="I932" s="55"/>
    </row>
    <row r="933" spans="7:9" x14ac:dyDescent="0.3">
      <c r="G933" s="53"/>
      <c r="H933" s="54"/>
      <c r="I933" s="55"/>
    </row>
    <row r="934" spans="7:9" x14ac:dyDescent="0.3">
      <c r="G934" s="53"/>
      <c r="H934" s="54"/>
      <c r="I934" s="55"/>
    </row>
    <row r="935" spans="7:9" x14ac:dyDescent="0.3">
      <c r="G935" s="53"/>
      <c r="H935" s="54"/>
      <c r="I935" s="55"/>
    </row>
    <row r="936" spans="7:9" x14ac:dyDescent="0.3">
      <c r="G936" s="53"/>
      <c r="H936" s="54"/>
      <c r="I936" s="55"/>
    </row>
    <row r="937" spans="7:9" x14ac:dyDescent="0.3">
      <c r="G937" s="53"/>
      <c r="H937" s="54"/>
      <c r="I937" s="55"/>
    </row>
    <row r="938" spans="7:9" x14ac:dyDescent="0.3">
      <c r="G938" s="53"/>
      <c r="H938" s="54"/>
      <c r="I938" s="55"/>
    </row>
    <row r="939" spans="7:9" x14ac:dyDescent="0.3">
      <c r="G939" s="53"/>
      <c r="H939" s="54"/>
      <c r="I939" s="55"/>
    </row>
    <row r="940" spans="7:9" x14ac:dyDescent="0.3">
      <c r="G940" s="53"/>
      <c r="H940" s="54"/>
      <c r="I940" s="55"/>
    </row>
    <row r="941" spans="7:9" x14ac:dyDescent="0.3">
      <c r="G941" s="53"/>
      <c r="H941" s="54"/>
      <c r="I941" s="55"/>
    </row>
    <row r="942" spans="7:9" x14ac:dyDescent="0.3">
      <c r="G942" s="53"/>
      <c r="H942" s="54"/>
      <c r="I942" s="55"/>
    </row>
    <row r="943" spans="7:9" x14ac:dyDescent="0.3">
      <c r="G943" s="53"/>
      <c r="H943" s="54"/>
      <c r="I943" s="55"/>
    </row>
    <row r="944" spans="7:9" x14ac:dyDescent="0.3">
      <c r="G944" s="53"/>
      <c r="H944" s="54"/>
      <c r="I944" s="55"/>
    </row>
    <row r="945" spans="7:9" x14ac:dyDescent="0.3">
      <c r="G945" s="53"/>
      <c r="H945" s="54"/>
      <c r="I945" s="55"/>
    </row>
    <row r="946" spans="7:9" x14ac:dyDescent="0.3">
      <c r="G946" s="53"/>
      <c r="H946" s="54"/>
      <c r="I946" s="55"/>
    </row>
    <row r="947" spans="7:9" x14ac:dyDescent="0.3">
      <c r="G947" s="53"/>
      <c r="H947" s="54"/>
      <c r="I947" s="55"/>
    </row>
    <row r="948" spans="7:9" x14ac:dyDescent="0.3">
      <c r="G948" s="53"/>
      <c r="H948" s="54"/>
      <c r="I948" s="55"/>
    </row>
    <row r="949" spans="7:9" x14ac:dyDescent="0.3">
      <c r="G949" s="53"/>
      <c r="H949" s="54"/>
      <c r="I949" s="55"/>
    </row>
    <row r="950" spans="7:9" x14ac:dyDescent="0.3">
      <c r="G950" s="53"/>
      <c r="H950" s="54"/>
      <c r="I950" s="55"/>
    </row>
    <row r="951" spans="7:9" x14ac:dyDescent="0.3">
      <c r="G951" s="53"/>
      <c r="H951" s="54"/>
      <c r="I951" s="55"/>
    </row>
    <row r="952" spans="7:9" x14ac:dyDescent="0.3">
      <c r="G952" s="53"/>
      <c r="H952" s="54"/>
      <c r="I952" s="55"/>
    </row>
    <row r="953" spans="7:9" x14ac:dyDescent="0.3">
      <c r="G953" s="53"/>
      <c r="H953" s="54"/>
      <c r="I953" s="55"/>
    </row>
    <row r="954" spans="7:9" x14ac:dyDescent="0.3">
      <c r="G954" s="53"/>
      <c r="H954" s="54"/>
      <c r="I954" s="55"/>
    </row>
    <row r="955" spans="7:9" x14ac:dyDescent="0.3">
      <c r="G955" s="53"/>
      <c r="H955" s="54"/>
      <c r="I955" s="55"/>
    </row>
    <row r="956" spans="7:9" x14ac:dyDescent="0.3">
      <c r="G956" s="53"/>
      <c r="H956" s="54"/>
      <c r="I956" s="55"/>
    </row>
    <row r="957" spans="7:9" x14ac:dyDescent="0.3">
      <c r="G957" s="53"/>
      <c r="H957" s="54"/>
      <c r="I957" s="55"/>
    </row>
    <row r="958" spans="7:9" x14ac:dyDescent="0.3">
      <c r="G958" s="53"/>
      <c r="H958" s="54"/>
      <c r="I958" s="55"/>
    </row>
    <row r="959" spans="7:9" x14ac:dyDescent="0.3">
      <c r="G959" s="53"/>
      <c r="H959" s="54"/>
      <c r="I959" s="55"/>
    </row>
    <row r="960" spans="7:9" x14ac:dyDescent="0.3">
      <c r="G960" s="53"/>
      <c r="H960" s="54"/>
      <c r="I960" s="55"/>
    </row>
    <row r="961" spans="7:9" x14ac:dyDescent="0.3">
      <c r="G961" s="53"/>
      <c r="H961" s="54"/>
      <c r="I961" s="55"/>
    </row>
    <row r="962" spans="7:9" x14ac:dyDescent="0.3">
      <c r="G962" s="53"/>
      <c r="H962" s="54"/>
      <c r="I962" s="55"/>
    </row>
    <row r="963" spans="7:9" x14ac:dyDescent="0.3">
      <c r="G963" s="53"/>
      <c r="H963" s="54"/>
      <c r="I963" s="55"/>
    </row>
    <row r="964" spans="7:9" x14ac:dyDescent="0.3">
      <c r="G964" s="53"/>
      <c r="H964" s="54"/>
      <c r="I964" s="55"/>
    </row>
    <row r="965" spans="7:9" x14ac:dyDescent="0.3">
      <c r="G965" s="53"/>
      <c r="H965" s="54"/>
      <c r="I965" s="55"/>
    </row>
    <row r="966" spans="7:9" x14ac:dyDescent="0.3">
      <c r="G966" s="53"/>
      <c r="H966" s="54"/>
      <c r="I966" s="55"/>
    </row>
    <row r="967" spans="7:9" x14ac:dyDescent="0.3">
      <c r="G967" s="53"/>
      <c r="H967" s="54"/>
      <c r="I967" s="55"/>
    </row>
    <row r="968" spans="7:9" x14ac:dyDescent="0.3">
      <c r="G968" s="53"/>
      <c r="H968" s="54"/>
      <c r="I968" s="55"/>
    </row>
    <row r="969" spans="7:9" x14ac:dyDescent="0.3">
      <c r="G969" s="53"/>
      <c r="H969" s="54"/>
      <c r="I969" s="55"/>
    </row>
    <row r="970" spans="7:9" x14ac:dyDescent="0.3">
      <c r="G970" s="53"/>
      <c r="H970" s="54"/>
      <c r="I970" s="55"/>
    </row>
    <row r="971" spans="7:9" x14ac:dyDescent="0.3">
      <c r="G971" s="53"/>
      <c r="H971" s="54"/>
      <c r="I971" s="55"/>
    </row>
    <row r="972" spans="7:9" x14ac:dyDescent="0.3">
      <c r="G972" s="53"/>
      <c r="H972" s="54"/>
      <c r="I972" s="55"/>
    </row>
    <row r="973" spans="7:9" x14ac:dyDescent="0.3">
      <c r="G973" s="53"/>
      <c r="H973" s="54"/>
      <c r="I973" s="55"/>
    </row>
    <row r="974" spans="7:9" x14ac:dyDescent="0.3">
      <c r="G974" s="53"/>
      <c r="H974" s="54"/>
      <c r="I974" s="55"/>
    </row>
    <row r="975" spans="7:9" x14ac:dyDescent="0.3">
      <c r="G975" s="53"/>
      <c r="H975" s="54"/>
      <c r="I975" s="55"/>
    </row>
    <row r="976" spans="7:9" x14ac:dyDescent="0.3">
      <c r="G976" s="53"/>
      <c r="H976" s="54"/>
      <c r="I976" s="55"/>
    </row>
    <row r="977" spans="7:9" x14ac:dyDescent="0.3">
      <c r="G977" s="53"/>
      <c r="H977" s="54"/>
      <c r="I977" s="55"/>
    </row>
    <row r="978" spans="7:9" x14ac:dyDescent="0.3">
      <c r="G978" s="53"/>
      <c r="H978" s="54"/>
      <c r="I978" s="55"/>
    </row>
    <row r="979" spans="7:9" x14ac:dyDescent="0.3">
      <c r="G979" s="53"/>
      <c r="H979" s="54"/>
      <c r="I979" s="55"/>
    </row>
    <row r="980" spans="7:9" x14ac:dyDescent="0.3">
      <c r="G980" s="53"/>
      <c r="H980" s="54"/>
      <c r="I980" s="55"/>
    </row>
    <row r="981" spans="7:9" x14ac:dyDescent="0.3">
      <c r="G981" s="53"/>
      <c r="H981" s="54"/>
      <c r="I981" s="55"/>
    </row>
    <row r="982" spans="7:9" x14ac:dyDescent="0.3">
      <c r="G982" s="53"/>
      <c r="H982" s="54"/>
      <c r="I982" s="55"/>
    </row>
    <row r="983" spans="7:9" x14ac:dyDescent="0.3">
      <c r="G983" s="53"/>
      <c r="H983" s="54"/>
      <c r="I983" s="55"/>
    </row>
    <row r="984" spans="7:9" x14ac:dyDescent="0.3">
      <c r="G984" s="53"/>
      <c r="H984" s="54"/>
      <c r="I984" s="55"/>
    </row>
    <row r="985" spans="7:9" x14ac:dyDescent="0.3">
      <c r="G985" s="53"/>
      <c r="H985" s="54"/>
      <c r="I985" s="55"/>
    </row>
    <row r="986" spans="7:9" x14ac:dyDescent="0.3">
      <c r="G986" s="53"/>
      <c r="H986" s="54"/>
      <c r="I986" s="55"/>
    </row>
    <row r="987" spans="7:9" x14ac:dyDescent="0.3">
      <c r="G987" s="53"/>
      <c r="H987" s="54"/>
      <c r="I987" s="55"/>
    </row>
    <row r="988" spans="7:9" x14ac:dyDescent="0.3">
      <c r="G988" s="53"/>
      <c r="H988" s="54"/>
      <c r="I988" s="55"/>
    </row>
    <row r="989" spans="7:9" x14ac:dyDescent="0.3">
      <c r="G989" s="53"/>
      <c r="H989" s="54"/>
      <c r="I989" s="55"/>
    </row>
    <row r="990" spans="7:9" x14ac:dyDescent="0.3">
      <c r="G990" s="53"/>
      <c r="H990" s="54"/>
      <c r="I990" s="55"/>
    </row>
    <row r="991" spans="7:9" x14ac:dyDescent="0.3">
      <c r="G991" s="53"/>
      <c r="H991" s="54"/>
      <c r="I991" s="55"/>
    </row>
    <row r="992" spans="7:9" x14ac:dyDescent="0.3">
      <c r="G992" s="53"/>
      <c r="H992" s="54"/>
      <c r="I992" s="55"/>
    </row>
    <row r="993" spans="7:9" x14ac:dyDescent="0.3">
      <c r="G993" s="53"/>
      <c r="H993" s="54"/>
      <c r="I993" s="55"/>
    </row>
    <row r="994" spans="7:9" x14ac:dyDescent="0.3">
      <c r="G994" s="53"/>
      <c r="H994" s="54"/>
      <c r="I994" s="55"/>
    </row>
    <row r="995" spans="7:9" x14ac:dyDescent="0.3">
      <c r="G995" s="53"/>
      <c r="H995" s="54"/>
      <c r="I995" s="55"/>
    </row>
    <row r="996" spans="7:9" x14ac:dyDescent="0.3">
      <c r="G996" s="53"/>
      <c r="H996" s="54"/>
      <c r="I996" s="55"/>
    </row>
    <row r="997" spans="7:9" x14ac:dyDescent="0.3">
      <c r="G997" s="53"/>
      <c r="H997" s="54"/>
      <c r="I997" s="55"/>
    </row>
    <row r="998" spans="7:9" x14ac:dyDescent="0.3">
      <c r="G998" s="53"/>
      <c r="H998" s="54"/>
      <c r="I998" s="55"/>
    </row>
    <row r="999" spans="7:9" x14ac:dyDescent="0.3">
      <c r="G999" s="53"/>
      <c r="H999" s="54"/>
      <c r="I999" s="55"/>
    </row>
    <row r="1000" spans="7:9" x14ac:dyDescent="0.3">
      <c r="G1000" s="53"/>
      <c r="H1000" s="54"/>
      <c r="I1000" s="55"/>
    </row>
    <row r="1001" spans="7:9" x14ac:dyDescent="0.3">
      <c r="G1001" s="53"/>
      <c r="H1001" s="54"/>
      <c r="I1001" s="55"/>
    </row>
    <row r="1002" spans="7:9" x14ac:dyDescent="0.3">
      <c r="G1002" s="53"/>
      <c r="H1002" s="54"/>
      <c r="I1002" s="55"/>
    </row>
    <row r="1003" spans="7:9" x14ac:dyDescent="0.3">
      <c r="G1003" s="53"/>
      <c r="H1003" s="54"/>
      <c r="I1003" s="55"/>
    </row>
    <row r="1004" spans="7:9" x14ac:dyDescent="0.3">
      <c r="G1004" s="53"/>
      <c r="H1004" s="54"/>
      <c r="I1004" s="55"/>
    </row>
  </sheetData>
  <sheetProtection insertRows="0" selectLockedCells="1" sort="0" autoFilter="0"/>
  <sortState xmlns:xlrd2="http://schemas.microsoft.com/office/spreadsheetml/2017/richdata2" ref="B8:I8">
    <sortCondition ref="B8"/>
    <sortCondition ref="C8"/>
    <sortCondition ref="D8"/>
  </sortState>
  <phoneticPr fontId="0" type="noConversion"/>
  <conditionalFormatting sqref="A8:A803">
    <cfRule type="expression" dxfId="3" priority="1" stopIfTrue="1">
      <formula>AND($L$2,G8="",NOT(F8=""))</formula>
    </cfRule>
    <cfRule type="expression" dxfId="2" priority="2" stopIfTrue="1">
      <formula>AND($L$2,G8="d",NOT(F8=""))</formula>
    </cfRule>
    <cfRule type="expression" dxfId="1" priority="3" stopIfTrue="1">
      <formula>AND($L$2,G8="r",NOT(F8=""))</formula>
    </cfRule>
  </conditionalFormatting>
  <conditionalFormatting sqref="I1:I1048576">
    <cfRule type="expression" dxfId="0" priority="4" stopIfTrue="1">
      <formula>AND($L$2,G1="r",OR(H1="",I1=""))</formula>
    </cfRule>
  </conditionalFormatting>
  <dataValidations count="4">
    <dataValidation type="list" errorStyle="warning" allowBlank="1" showInputMessage="1" showErrorMessage="1" errorTitle="Choose action" error="Select either:_x000a_a - accept_x000a_r - reject_x000a_d - double" sqref="G1:G13 G19:G65540" xr:uid="{00000000-0002-0000-0100-000000000000}">
      <formula1>$K$2:$K$4</formula1>
    </dataValidation>
    <dataValidation type="list" errorStyle="warning" allowBlank="1" showErrorMessage="1" errorTitle="Choose action" error="Select either:_x000a_a - accept_x000a_r - reject_x000a_d - double" sqref="G14:G18" xr:uid="{00000000-0002-0000-0100-000001000000}">
      <formula1>$K$2:$K$4</formula1>
    </dataValidation>
    <dataValidation type="list" errorStyle="warning" allowBlank="1" showErrorMessage="1" errorTitle="Choose Class" error="Select:_x000a_C - Critical_x000a_M - Major_x000a_n - Minor_x000a_Q - Question" sqref="D1:D1048576" xr:uid="{00000000-0002-0000-0100-000002000000}">
      <formula1>$M$2:$M$5</formula1>
    </dataValidation>
    <dataValidation type="list" allowBlank="1" showInputMessage="1" showErrorMessage="1" sqref="I8:I1004" xr:uid="{00000000-0002-0000-0100-000003000000}">
      <formula1>$N$2:$N$3</formula1>
    </dataValidation>
  </dataValidations>
  <pageMargins left="0.75" right="0.75" top="1" bottom="1" header="0.5" footer="0.5"/>
  <pageSetup paperSize="9" scale="59" fitToHeight="0" orientation="portrait" r:id="rId1"/>
  <headerFooter>
    <oddFooter>&amp;C&amp;"Arial,Regular"&amp;8Benchmark Confidential
HARDCOPIES ARE CONTROLLED ONLY IF THE HARDCOPY CONTROL SECTION IS FILLED IN AND SIGNED. 
OTHER HARDCOPIES ARE UNCONTROLLED. THE MASTER FILE IS AVAILABLE ON THE NETWORK.&amp;R&amp;"Arial,Regular"&amp;8Page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ortResults.SortResults">
                <anchor moveWithCells="1" sizeWithCells="1">
                  <from>
                    <xdr:col>5</xdr:col>
                    <xdr:colOff>647700</xdr:colOff>
                    <xdr:row>2</xdr:row>
                    <xdr:rowOff>106680</xdr:rowOff>
                  </from>
                  <to>
                    <xdr:col>5</xdr:col>
                    <xdr:colOff>2667000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" name="Button 48">
              <controlPr defaultSize="0" print="0" autoFill="0" autoPict="0" macro="[0]!ImportForm.ImportForm">
                <anchor moveWithCells="1" sizeWithCells="1">
                  <from>
                    <xdr:col>5</xdr:col>
                    <xdr:colOff>647700</xdr:colOff>
                    <xdr:row>0</xdr:row>
                    <xdr:rowOff>160020</xdr:rowOff>
                  </from>
                  <to>
                    <xdr:col>5</xdr:col>
                    <xdr:colOff>2659380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umentijd xmlns="e9ebf9fb-2338-4854-b1b7-54a337e23644">2023-06-12T07:11:14+00:00</datumentijd>
    <dateandtime xmlns="e9ebf9fb-2338-4854-b1b7-54a337e23644" xsi:nil="true"/>
    <lcf76f155ced4ddcb4097134ff3c332f xmlns="e9ebf9fb-2338-4854-b1b7-54a337e23644">
      <Terms xmlns="http://schemas.microsoft.com/office/infopath/2007/PartnerControls"/>
    </lcf76f155ced4ddcb4097134ff3c332f>
    <TaxCatchAll xmlns="650766da-29fc-4be4-86af-945df91d5da2" xsi:nil="true"/>
    <_Flow_SignoffStatus xmlns="e9ebf9fb-2338-4854-b1b7-54a337e23644" xsi:nil="true"/>
    <person xmlns="e9ebf9fb-2338-4854-b1b7-54a337e23644">
      <UserInfo>
        <DisplayName/>
        <AccountId xsi:nil="true"/>
        <AccountType/>
      </UserInfo>
    </person>
    <Remark xmlns="e9ebf9fb-2338-4854-b1b7-54a337e23644" xsi:nil="true"/>
    <hyperlink xmlns="e9ebf9fb-2338-4854-b1b7-54a337e23644">
      <Url xsi:nil="true"/>
      <Description xsi:nil="true"/>
    </hyperlink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0140A1210FAD4D922D3B405AE99B34" ma:contentTypeVersion="26" ma:contentTypeDescription="Create a new document." ma:contentTypeScope="" ma:versionID="66453f2b4147c251e3ccdf47ad8ba031">
  <xsd:schema xmlns:xsd="http://www.w3.org/2001/XMLSchema" xmlns:xs="http://www.w3.org/2001/XMLSchema" xmlns:p="http://schemas.microsoft.com/office/2006/metadata/properties" xmlns:ns2="e9ebf9fb-2338-4854-b1b7-54a337e23644" xmlns:ns3="650766da-29fc-4be4-86af-945df91d5da2" targetNamespace="http://schemas.microsoft.com/office/2006/metadata/properties" ma:root="true" ma:fieldsID="ba48f0bff0e26f0a7bcef228e91587a0" ns2:_="" ns3:_="">
    <xsd:import namespace="e9ebf9fb-2338-4854-b1b7-54a337e23644"/>
    <xsd:import namespace="650766da-29fc-4be4-86af-945df91d5da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person" minOccurs="0"/>
                <xsd:element ref="ns2:datumentijd" minOccurs="0"/>
                <xsd:element ref="ns2:MediaLengthInSeconds" minOccurs="0"/>
                <xsd:element ref="ns2:Remark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dateandtime" minOccurs="0"/>
                <xsd:element ref="ns2:MediaServiceSearchProperties" minOccurs="0"/>
                <xsd:element ref="ns2:MediaServiceObjectDetectorVersions" minOccurs="0"/>
                <xsd:element ref="ns2:hyperlink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ebf9fb-2338-4854-b1b7-54a337e236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person" ma:index="20" nillable="true" ma:displayName="person" ma:format="Dropdown" ma:list="UserInfo" ma:SharePointGroup="0" ma:internalName="person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atumentijd" ma:index="21" nillable="true" ma:displayName="datum en tijd " ma:default="[today]" ma:format="DateOnly" ma:internalName="datumentijd">
      <xsd:simpleType>
        <xsd:restriction base="dms:DateTime"/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Remark" ma:index="23" nillable="true" ma:displayName="Remark" ma:description="Folder created for external access and cooperation" ma:format="Dropdown" ma:internalName="Remark">
      <xsd:simpleType>
        <xsd:restriction base="dms:Text">
          <xsd:maxLength value="255"/>
        </xsd:restriction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1f57cf05-9ebd-4dff-bcbb-ab0e3b9a33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7" nillable="true" ma:displayName="Sign-off status" ma:internalName="Sign_x002d_off_x0020_status">
      <xsd:simpleType>
        <xsd:restriction base="dms:Text">
          <xsd:maxLength value="255"/>
        </xsd:restriction>
      </xsd:simpleType>
    </xsd:element>
    <xsd:element name="dateandtime" ma:index="28" nillable="true" ma:displayName="date and time" ma:format="DateOnly" ma:internalName="dateandtime">
      <xsd:simpleType>
        <xsd:restriction base="dms:DateTime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hyperlink" ma:index="31" nillable="true" ma:displayName="hyperlink" ma:format="Hyperlink" ma:internalName="hyper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BillingMetadata" ma:index="3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0766da-29fc-4be4-86af-945df91d5da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8010d611-655f-48ff-a5fa-f6b9c2e047c9}" ma:internalName="TaxCatchAll" ma:showField="CatchAllData" ma:web="650766da-29fc-4be4-86af-945df91d5da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4F029FC2-F999-4A38-8044-B708C3712140}">
  <ds:schemaRefs>
    <ds:schemaRef ds:uri="http://schemas.microsoft.com/office/2006/metadata/properties"/>
    <ds:schemaRef ds:uri="http://schemas.microsoft.com/office/infopath/2007/PartnerControls"/>
    <ds:schemaRef ds:uri="e9ebf9fb-2338-4854-b1b7-54a337e23644"/>
    <ds:schemaRef ds:uri="650766da-29fc-4be4-86af-945df91d5da2"/>
  </ds:schemaRefs>
</ds:datastoreItem>
</file>

<file path=customXml/itemProps2.xml><?xml version="1.0" encoding="utf-8"?>
<ds:datastoreItem xmlns:ds="http://schemas.openxmlformats.org/officeDocument/2006/customXml" ds:itemID="{9D5535EE-D699-4BCC-9666-BE74D30351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A76AED-57A5-4C6F-B992-E3D48130E9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ebf9fb-2338-4854-b1b7-54a337e23644"/>
    <ds:schemaRef ds:uri="650766da-29fc-4be4-86af-945df91d5d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D697930-9A73-41DF-8DE0-90476DAEFAF2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Title sheet</vt:lpstr>
      <vt:lpstr>Instructions</vt:lpstr>
      <vt:lpstr>Review Results</vt:lpstr>
      <vt:lpstr>'Review Results'!Print_Area</vt:lpstr>
      <vt:lpstr>'Title sheet'!Print_Area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2023-05-30T13:21:58Z</dcterms:created>
  <dcterms:modified xsi:type="dcterms:W3CDTF">2026-10-01T22:35:37Z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0x0101002C0140A1210FAD4D922D3B405AE99B34</vt:lpwstr>
  </property>
  <property fmtid="{D5CDD505-2E9C-101B-9397-08002B2CF9AE}" pid="3" name="MediaServiceImageTags">
    <vt:lpwstr/>
  </property>
</Properties>
</file>